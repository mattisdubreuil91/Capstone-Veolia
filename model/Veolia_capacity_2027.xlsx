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Formulas" sheetId="3" state="visible" r:id="rId5"/>
    <sheet name="Inputs" sheetId="4" state="visible" r:id="rId6"/>
    <sheet name="Spent" sheetId="5" state="visible" r:id="rId7"/>
    <sheet name="Start" sheetId="6" state="visible" r:id="rId8"/>
    <sheet name="Engine" sheetId="7" state="visible" r:id="rId9"/>
    <sheet name="Tornado" sheetId="8" state="visible" r:id="rId10"/>
    <sheet name="Rating" sheetId="9" state="visible" r:id="rId11"/>
  </sheets>
  <definedNames>
    <definedName function="false" hidden="false" localSheetId="6" name="_xlnm.Print_Area" vbProcedure="false">Engine!$A$1:$E$70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<sst xmlns="http://schemas.openxmlformats.org/spreadsheetml/2006/main" count="762" uniqueCount="459">
  <si>
    <t xml:space="preserve">Veolia - investment capacity to 31/12/2027 under the leverage commitment</t>
  </si>
  <si>
    <t xml:space="preserve">Capstone Subject 2 - perimeter: Financial capacity. Workshop 2 working model.</t>
  </si>
  <si>
    <t xml:space="preserve">Question: how much can Veolia commit to acquisitions between 1 July 2026 and 31 December 2027 while ending 2027 at net debt / EBITDA &lt;= 3.0x?</t>
  </si>
  <si>
    <t xml:space="preserve">How to read it</t>
  </si>
  <si>
    <t xml:space="preserve">Inputs     - every hard-coded number, with document, PDF page and how it was derived. Blue = input, yellow = judgement call to defend.</t>
  </si>
  <si>
    <t xml:space="preserve">Spent      - Block 1: what has gone out against the EUR 4bn GreenUp envelope, gross and net of disposals.</t>
  </si>
  <si>
    <t xml:space="preserve">Start      - Block 2: starting position (net debt, EBITDA, leverage, maturities, liquidity) and the two net-debt figures that do not reconcile.</t>
  </si>
  <si>
    <t xml:space="preserve">Engine     - Blocks 3-4: one column per case. Green cells link to Inputs; blue cells in a case column are that case's overrides.</t>
  </si>
  <si>
    <t xml:space="preserve">Summary    - the capacity range by case and the three sources of capacity (retained FCF, disposals, leverage headroom).</t>
  </si>
  <si>
    <t xml:space="preserve">Formulas   - the four standard formulas (leverage, headroom, available cash, practical capacity) applied and corrected.</t>
  </si>
  <si>
    <t xml:space="preserve">Tornado    - Block 5: one-way sensitivities ranked by swing, computed from the Engine.</t>
  </si>
  <si>
    <t xml:space="preserve">Rating     - cross-check against the agency trigger (Moody's FFO/net debt). Low confidence until the PDF is read.</t>
  </si>
  <si>
    <t xml:space="preserve">Method (Engine)</t>
  </si>
  <si>
    <t xml:space="preserve">NFD Dec-26 = NFD Jun-26 - net FCF H2-26 + dividends/coupons H2-26 + buyback - disposals H2-26 + FX/other</t>
  </si>
  <si>
    <t xml:space="preserve">NFD Dec-27 before new M&amp;A = NFD Dec-26 - net FCF 2027 + all dividends &amp; hybrid coupons 2027 + buyback - disposals 2027 + FX/other</t>
  </si>
  <si>
    <t xml:space="preserve">Max NFD Dec-27 = leverage cap x EBITDA 2027 (EBITDA net of what the disposals take away)</t>
  </si>
  <si>
    <t xml:space="preserve">Capacity = (Max NFD - NFD before M&amp;A) / (1 - cap x f / deal multiple), f = share of acquired EBITDA counted in the 2027 ratio (0 = none, 1 = full pro forma)</t>
  </si>
  <si>
    <t xml:space="preserve">Definitions follow Veolia's own (H1-2026 report, PDF p.31): leverage = NFD incl. IFRS 16 / EBITDA incl. IFRS 16; net FCF is before dividends and financial investments.</t>
  </si>
  <si>
    <t xml:space="preserve">Rule followed: no number in this workbook was typed in as a result. Results are formulas over sourced inputs.</t>
  </si>
  <si>
    <t xml:space="preserve">Investment capacity to 31/12/2027 - summary (EUR m)</t>
  </si>
  <si>
    <t xml:space="preserve">Line</t>
  </si>
  <si>
    <t xml:space="preserve">Base</t>
  </si>
  <si>
    <t xml:space="preserve">GreenUp met</t>
  </si>
  <si>
    <t xml:space="preserve">Downside</t>
  </si>
  <si>
    <t xml:space="preserve">Upside</t>
  </si>
  <si>
    <t xml:space="preserve">NFD 30/06/2026 (actual)</t>
  </si>
  <si>
    <t xml:space="preserve">NFD 31/12/2026e</t>
  </si>
  <si>
    <t xml:space="preserve">Leverage 31/12/2026e</t>
  </si>
  <si>
    <t xml:space="preserve">Check vs 2026 guidance</t>
  </si>
  <si>
    <t xml:space="preserve">EBITDA 2027e</t>
  </si>
  <si>
    <t xml:space="preserve">NFD 31/12/2027e before new M&amp;A</t>
  </si>
  <si>
    <t xml:space="preserve">Leverage 31/12/2027e before new M&amp;A</t>
  </si>
  <si>
    <t xml:space="preserve">Maximum NFD at cap</t>
  </si>
  <si>
    <t xml:space="preserve">Leverage headroom (debt room)</t>
  </si>
  <si>
    <t xml:space="preserve">ACQUISITION CAPACITY (EV)</t>
  </si>
  <si>
    <t xml:space="preserve">  Source 1 - retained FCF</t>
  </si>
  <si>
    <t xml:space="preserve">  Source 2 - disposals net of EBITDA lost</t>
  </si>
  <si>
    <t xml:space="preserve">  Source 3 - leverage room vs Jun-26 debt</t>
  </si>
  <si>
    <t xml:space="preserve">  Source 4 - pro forma uplift</t>
  </si>
  <si>
    <t xml:space="preserve">Range across the four cases</t>
  </si>
  <si>
    <t xml:space="preserve">Low</t>
  </si>
  <si>
    <t xml:space="preserve">High</t>
  </si>
  <si>
    <t xml:space="preserve">Block 1 cross-reference: EUR 4bn envelope remaining (gross / net readings)</t>
  </si>
  <si>
    <t xml:space="preserve">Gross / net of disposals</t>
  </si>
  <si>
    <t xml:space="preserve">Capacity with the four standard formulas (base case, EUR m)</t>
  </si>
  <si>
    <t xml:space="preserve">1-2. Net leverage and debt headroom TODAY (30/06/2026, last-12-months EBITDA)</t>
  </si>
  <si>
    <t xml:space="preserve">Net leverage = net debt / EBITDA</t>
  </si>
  <si>
    <t xml:space="preserve">June debt peak / LTM EBITDA.</t>
  </si>
  <si>
    <t xml:space="preserve">Debt headroom = Lmax x EBITDA - net debt</t>
  </si>
  <si>
    <t xml:space="preserve">Negative: on today's figures there is no room. Misleading: June is the seasonal peak and no future cash is counted.</t>
  </si>
  <si>
    <t xml:space="preserve">1-2. Same formulas at the TEST DATE (31/12/2027, base-case forecast before new deals)</t>
  </si>
  <si>
    <t xml:space="preserve">The 3x is tested at year-end on Veolia's own definition (no bank covenant at parent level: FY25 p.67).</t>
  </si>
  <si>
    <t xml:space="preserve">Debt headroom = Lmax x EBITDA 2027 - net debt end-2027</t>
  </si>
  <si>
    <t xml:space="preserve">Net debt end-2027 already includes cash from operations, dividends and disposals.</t>
  </si>
  <si>
    <t xml:space="preserve">3. Cash available for investment, Jul-2026 to Dec-2027</t>
  </si>
  <si>
    <t xml:space="preserve">+ Opening cash (incl. liquid assets)</t>
  </si>
  <si>
    <t xml:space="preserve">+ Cash generated: net FCF H2-26 + 2027</t>
  </si>
  <si>
    <t xml:space="preserve">Net FCF is after capex, interest and tax.</t>
  </si>
  <si>
    <t xml:space="preserve">- Dividends, hybrid coupons, buyback</t>
  </si>
  <si>
    <t xml:space="preserve">+ Disposal proceeds</t>
  </si>
  <si>
    <t xml:space="preserve">+ Permitted borrowing (undrawn committed lines)</t>
  </si>
  <si>
    <t xml:space="preserve">Excludes new bond issues: Veolia raised EUR 3.9bn in H1-2026, so this is prudent.</t>
  </si>
  <si>
    <t xml:space="preserve">- Repayments (current debt + H2-2027 maturities)</t>
  </si>
  <si>
    <t xml:space="preserve">Assumes nothing is refinanced.</t>
  </si>
  <si>
    <t xml:space="preserve">- Committed spending</t>
  </si>
  <si>
    <t xml:space="preserve">- Minimum cash reserve</t>
  </si>
  <si>
    <t xml:space="preserve">Available cash (total)</t>
  </si>
  <si>
    <t xml:space="preserve">Before any refinancing in the bond market.</t>
  </si>
  <si>
    <t xml:space="preserve">4. Practical investment capacity</t>
  </si>
  <si>
    <t xml:space="preserve">As written: min(available cash, headroom + cash from operations) - committed</t>
  </si>
  <si>
    <t xml:space="preserve">Overstates: the end-2027 headroom already contains the cash from operations, so it is counted twice.</t>
  </si>
  <si>
    <t xml:space="preserve">Corrected: min(available cash, end-2027 headroom) - committed</t>
  </si>
  <si>
    <t xml:space="preserve">Headroom taken from the full net-debt forecast at the test date, as the note to formula 4 recommends.</t>
  </si>
  <si>
    <t xml:space="preserve">Binding constraint</t>
  </si>
  <si>
    <t xml:space="preserve">If acquired EBITDA counts in the 2027 ratio (deal at the input multiple)</t>
  </si>
  <si>
    <t xml:space="preserve">Each EUR 1 of EV buys 1/multiple of EBITDA, which raises the limit by 3/multiple.</t>
  </si>
  <si>
    <t xml:space="preserve">Key</t>
  </si>
  <si>
    <t xml:space="preserve">Input</t>
  </si>
  <si>
    <t xml:space="preserve">Value</t>
  </si>
  <si>
    <t xml:space="preserve">Unit</t>
  </si>
  <si>
    <t xml:space="preserve">Source document</t>
  </si>
  <si>
    <t xml:space="preserve">PDF page</t>
  </si>
  <si>
    <t xml:space="preserve">Derivation / note</t>
  </si>
  <si>
    <t xml:space="preserve">Confidence</t>
  </si>
  <si>
    <t xml:space="preserve">Starting position</t>
  </si>
  <si>
    <t xml:space="preserve">NFD_J26</t>
  </si>
  <si>
    <t xml:space="preserve">Net financial debt 30/06/2026</t>
  </si>
  <si>
    <t xml:space="preserve">EUR m</t>
  </si>
  <si>
    <t xml:space="preserve">Amendment to 2025 URD - Half-year report 30/06/2026</t>
  </si>
  <si>
    <t xml:space="preserve">26</t>
  </si>
  <si>
    <t xml:space="preserve">Closing NFD, Veolia definition (excl. Suez PPA remeasurement). Bridge table 3.3.1.</t>
  </si>
  <si>
    <t xml:space="preserve">NFD_D25</t>
  </si>
  <si>
    <t xml:space="preserve">Net financial debt 31/12/2025 (bridge basis)</t>
  </si>
  <si>
    <t xml:space="preserve">25-26</t>
  </si>
  <si>
    <t xml:space="preserve">Opening NFD in the H1-2026 bridge.</t>
  </si>
  <si>
    <t xml:space="preserve">NFD_D25s</t>
  </si>
  <si>
    <t xml:space="preserve">Net financial debt 31/12/2025 (statutory note)</t>
  </si>
  <si>
    <t xml:space="preserve">Consolidated financial statements 31/12/2025</t>
  </si>
  <si>
    <t xml:space="preserve">66</t>
  </si>
  <si>
    <t xml:space="preserve">Note 8.3.2.1. Also shown as 12/31/2025 in H1-2026 key figures (p.6). Gap vs bridge basis = Suez PPA remeasurement (to confirm).</t>
  </si>
  <si>
    <t xml:space="preserve">NFD_D24</t>
  </si>
  <si>
    <t xml:space="preserve">Net financial debt 31/12/2024</t>
  </si>
  <si>
    <t xml:space="preserve">6</t>
  </si>
  <si>
    <t xml:space="preserve">Key figures and opening of H1-2025 bridge (p.26).</t>
  </si>
  <si>
    <t xml:space="preserve">NFD_J25</t>
  </si>
  <si>
    <t xml:space="preserve">Net financial debt 30/06/2025</t>
  </si>
  <si>
    <t xml:space="preserve">NFD_D23</t>
  </si>
  <si>
    <t xml:space="preserve">Net financial debt 31/12/2023</t>
  </si>
  <si>
    <t xml:space="preserve">Amendment to 2023 URD - Half-year report 30/06/2024</t>
  </si>
  <si>
    <t xml:space="preserve">Key figures, 12/31/2023 column.</t>
  </si>
  <si>
    <t xml:space="preserve">EBITDA24</t>
  </si>
  <si>
    <t xml:space="preserve">EBITDA FY2024</t>
  </si>
  <si>
    <t xml:space="preserve">EBITDA25</t>
  </si>
  <si>
    <t xml:space="preserve">EBITDA FY2025</t>
  </si>
  <si>
    <t xml:space="preserve">EBITDA_H124</t>
  </si>
  <si>
    <t xml:space="preserve">EBITDA H1 2024</t>
  </si>
  <si>
    <t xml:space="preserve">As published in 2024 (not restated).</t>
  </si>
  <si>
    <t xml:space="preserve">Medium</t>
  </si>
  <si>
    <t xml:space="preserve">EBITDA_H125</t>
  </si>
  <si>
    <t xml:space="preserve">EBITDA H1 2025</t>
  </si>
  <si>
    <t xml:space="preserve">EBITDA_H126</t>
  </si>
  <si>
    <t xml:space="preserve">EBITDA H1 2026</t>
  </si>
  <si>
    <t xml:space="preserve">Net free cash flow (Veolia definition: before dividends, financial investments and divestitures)</t>
  </si>
  <si>
    <t xml:space="preserve">FCF23</t>
  </si>
  <si>
    <t xml:space="preserve">Net FCF FY2023</t>
  </si>
  <si>
    <t xml:space="preserve">FCF24</t>
  </si>
  <si>
    <t xml:space="preserve">Net FCF FY2024</t>
  </si>
  <si>
    <t xml:space="preserve">FCF25</t>
  </si>
  <si>
    <t xml:space="preserve">Net FCF FY2025</t>
  </si>
  <si>
    <t xml:space="preserve">FCF_H125</t>
  </si>
  <si>
    <t xml:space="preserve">Net FCF H1 2025</t>
  </si>
  <si>
    <t xml:space="preserve">FCF_H126</t>
  </si>
  <si>
    <t xml:space="preserve">Net FCF H1 2026 (actual)</t>
  </si>
  <si>
    <t xml:space="preserve">FCF_g</t>
  </si>
  <si>
    <t xml:space="preserve">Net FCF growth per year 2026-27</t>
  </si>
  <si>
    <t xml:space="preserve">%</t>
  </si>
  <si>
    <t xml:space="preserve">Derived</t>
  </si>
  <si>
    <t xml:space="preserve">Base = 2023-25 CAGR of net FCF (formula). Net FCF has been flat while EBITDA grew: capex and WCR absorb the growth.</t>
  </si>
  <si>
    <t xml:space="preserve">CE_FCF27</t>
  </si>
  <si>
    <t xml:space="preserve">Clean Earth incremental net FCF 2027</t>
  </si>
  <si>
    <t xml:space="preserve">Judgement</t>
  </si>
  <si>
    <t xml:space="preserve">EBITDA ~EUR 0.2bn less capex, cash tax and interest on ~EUR 2.8bn of acquisition debt (net FCF is after interest) ~ zero. Replace with Enviri 10-K data.</t>
  </si>
  <si>
    <t xml:space="preserve">Shareholder and hybrid outflows</t>
  </si>
  <si>
    <t xml:space="preserve">DivPar26</t>
  </si>
  <si>
    <t xml:space="preserve">Parent dividend paid 2026 (on FY2025)</t>
  </si>
  <si>
    <t xml:space="preserve">14</t>
  </si>
  <si>
    <t xml:space="preserve">EUR 1.50/share paid 13/05/2026.</t>
  </si>
  <si>
    <t xml:space="preserve">DivGrowth</t>
  </si>
  <si>
    <t xml:space="preserve">Parent dividend growth 2027</t>
  </si>
  <si>
    <t xml:space="preserve">29</t>
  </si>
  <si>
    <t xml:space="preserve">Guidance: dividend growth in line with current EPS, current net income +8% minimum.</t>
  </si>
  <si>
    <t xml:space="preserve">DivMin</t>
  </si>
  <si>
    <t xml:space="preserve">Dividends to minorities per year</t>
  </si>
  <si>
    <t xml:space="preserve">Consolidated financial statements 31/12/2025 / Amendment to 2025 URD - Half-year report 30/06/2026</t>
  </si>
  <si>
    <t xml:space="preserve">7-8 / 6</t>
  </si>
  <si>
    <t xml:space="preserve">FY2025 dividends paid (cash flow statement, 1,280) less parent dividend (H1-2025 key figures, 1,023).</t>
  </si>
  <si>
    <t xml:space="preserve">DivCF25</t>
  </si>
  <si>
    <t xml:space="preserve">Dividends paid FY2025, cash flow statement</t>
  </si>
  <si>
    <t xml:space="preserve">8</t>
  </si>
  <si>
    <t xml:space="preserve">Parent + minorities.</t>
  </si>
  <si>
    <t xml:space="preserve">DivPar25</t>
  </si>
  <si>
    <t xml:space="preserve">Parent dividend paid 2025</t>
  </si>
  <si>
    <t xml:space="preserve">H1-2025 column. NB FY2025 column of the same table shows 895: inconsistency to raise.</t>
  </si>
  <si>
    <t xml:space="preserve">Coup25</t>
  </si>
  <si>
    <t xml:space="preserve">Hybrid coupons paid FY2025</t>
  </si>
  <si>
    <t xml:space="preserve">Hyb25</t>
  </si>
  <si>
    <t xml:space="preserve">Hybrid stock end-2025</t>
  </si>
  <si>
    <t xml:space="preserve">74</t>
  </si>
  <si>
    <t xml:space="preserve">Note 9.4.2, 'EUR 4.1 billion'.</t>
  </si>
  <si>
    <t xml:space="preserve">HybRed</t>
  </si>
  <si>
    <t xml:space="preserve">Hybrid redeemed Feb-2026</t>
  </si>
  <si>
    <t xml:space="preserve">Already reclassified as debt at 31/12/2025 (FY25 p.74), so no further NFD impact.</t>
  </si>
  <si>
    <t xml:space="preserve">DivBridgeH125</t>
  </si>
  <si>
    <t xml:space="preserve">Dividends + coupons in H1-2025 NFD bridge</t>
  </si>
  <si>
    <t xml:space="preserve">Equals 1,173 dividends + 94 coupons (cash flow statement p.36). Gives the H2 seasonal residual.</t>
  </si>
  <si>
    <t xml:space="preserve">Buyback</t>
  </si>
  <si>
    <t xml:space="preserve">Net buyback per year (capital reduction less share issues)</t>
  </si>
  <si>
    <t xml:space="preserve">Guidance: buyback offsets employee plan dilution. FY2025: 402 - 318.</t>
  </si>
  <si>
    <t xml:space="preserve">CapRed25</t>
  </si>
  <si>
    <t xml:space="preserve">Share capital reduction FY2025</t>
  </si>
  <si>
    <t xml:space="preserve">ShIss25</t>
  </si>
  <si>
    <t xml:space="preserve">Proceeds on issue of shares FY2025</t>
  </si>
  <si>
    <t xml:space="preserve">Disposals (asset rotation)</t>
  </si>
  <si>
    <t xml:space="preserve">DispTotal</t>
  </si>
  <si>
    <t xml:space="preserve">Disposal programme</t>
  </si>
  <si>
    <t xml:space="preserve">'EUR 2bn+ disposal program will be delivered by mid 2028.' Gross or net, and whether H1-26 disposals count, is not stated.</t>
  </si>
  <si>
    <t xml:space="preserve">DispShare</t>
  </si>
  <si>
    <t xml:space="preserve">Share of programme cashed by 31/12/2027</t>
  </si>
  <si>
    <t xml:space="preserve">Straight-line to mid-2028 from late 2025 gives ~80%; trimmed for back-loading of large disposals.</t>
  </si>
  <si>
    <t xml:space="preserve">DispShareH2</t>
  </si>
  <si>
    <t xml:space="preserve">Of which in H2 2026</t>
  </si>
  <si>
    <t xml:space="preserve">Only EUR 73m of financial disposals in H1-2026 (p.27).</t>
  </si>
  <si>
    <t xml:space="preserve">DispMult</t>
  </si>
  <si>
    <t xml:space="preserve">EV/EBITDA multiple of assets sold</t>
  </si>
  <si>
    <t xml:space="preserve">x</t>
  </si>
  <si>
    <t xml:space="preserve">Each EUR of disposal also removes EBITDA from the ratio's denominator. No published multiple.</t>
  </si>
  <si>
    <t xml:space="preserve">EBITDA trajectory</t>
  </si>
  <si>
    <t xml:space="preserve">Org26</t>
  </si>
  <si>
    <t xml:space="preserve">Organic EBITDA growth 2026</t>
  </si>
  <si>
    <t xml:space="preserve">Guidance +5% to +6%, mid-point.</t>
  </si>
  <si>
    <t xml:space="preserve">FX26</t>
  </si>
  <si>
    <t xml:space="preserve">FX effect on EBITDA 2026</t>
  </si>
  <si>
    <t xml:space="preserve">22</t>
  </si>
  <si>
    <t xml:space="preserve">H1-2026 FX effect -0.9%, extrapolated to the year.</t>
  </si>
  <si>
    <t xml:space="preserve">Org27</t>
  </si>
  <si>
    <t xml:space="preserve">Organic EBITDA growth 2027</t>
  </si>
  <si>
    <t xml:space="preserve">Capstone Project Briefing</t>
  </si>
  <si>
    <t xml:space="preserve">20</t>
  </si>
  <si>
    <t xml:space="preserve">GreenUp 'organic growth of around 5% a year'.</t>
  </si>
  <si>
    <t xml:space="preserve">CE_EV</t>
  </si>
  <si>
    <t xml:space="preserve">Clean Earth price</t>
  </si>
  <si>
    <t xml:space="preserve">USD m</t>
  </si>
  <si>
    <t xml:space="preserve">21</t>
  </si>
  <si>
    <t xml:space="preserve">Briefing table. H1-2026 report (p.14) gives USD 2,989m closing price.</t>
  </si>
  <si>
    <t xml:space="preserve">CE_Mult</t>
  </si>
  <si>
    <t xml:space="preserve">Clean Earth EV / 2026e EBITDA post-synergies</t>
  </si>
  <si>
    <t xml:space="preserve">CE_Syn</t>
  </si>
  <si>
    <t xml:space="preserve">Clean Earth run-rate synergies (year 4)</t>
  </si>
  <si>
    <t xml:space="preserve">CE_SynPh27</t>
  </si>
  <si>
    <t xml:space="preserve">Share of synergies achieved in 2027</t>
  </si>
  <si>
    <t xml:space="preserve">Year 1 of 4; H1-2026 report says synergies begin in 2027 (p.13).</t>
  </si>
  <si>
    <t xml:space="preserve">USD_EUR</t>
  </si>
  <si>
    <t xml:space="preserve">USD per EUR at closing</t>
  </si>
  <si>
    <t xml:space="preserve">USD/EUR</t>
  </si>
  <si>
    <t xml:space="preserve">USD 2,989m = EUR 2,542m on 01/06/2026.</t>
  </si>
  <si>
    <t xml:space="preserve">CE_Months26</t>
  </si>
  <si>
    <t xml:space="preserve">Clean Earth months consolidated in 2026</t>
  </si>
  <si>
    <t xml:space="preserve">months</t>
  </si>
  <si>
    <t xml:space="preserve">Closed 1 June 2026.</t>
  </si>
  <si>
    <t xml:space="preserve">EBITDA27_ovr</t>
  </si>
  <si>
    <t xml:space="preserve">EBITDA 2027 override (0 = use trajectory)</t>
  </si>
  <si>
    <t xml:space="preserve">Set to 8,000 to test the GreenUp target ('at least EUR 8bn in 2027').</t>
  </si>
  <si>
    <t xml:space="preserve">-</t>
  </si>
  <si>
    <t xml:space="preserve">Constraint and deal assumptions</t>
  </si>
  <si>
    <t xml:space="preserve">Lmax</t>
  </si>
  <si>
    <t xml:space="preserve">Leverage cap at 31/12/2027</t>
  </si>
  <si>
    <t xml:space="preserve">Capstone Project Briefing / Amendment to 2023 URD - Half-year report 30/06/2024</t>
  </si>
  <si>
    <t xml:space="preserve">20 / 12</t>
  </si>
  <si>
    <t xml:space="preserve">GreenUp: 'financial leverage less than or equal to 3x'.</t>
  </si>
  <si>
    <t xml:space="preserve">Lguid26</t>
  </si>
  <si>
    <t xml:space="preserve">Leverage guidance end-2026</t>
  </si>
  <si>
    <t xml:space="preserve">'3x or slightly above, Clean Earth included' - used as a validation check only.</t>
  </si>
  <si>
    <t xml:space="preserve">DealMult</t>
  </si>
  <si>
    <t xml:space="preserve">EV/EBITDA paid on new acquisitions</t>
  </si>
  <si>
    <t xml:space="preserve">Anchored on ~9.8x (Clean Earth) and ~11x (WTS minorities).</t>
  </si>
  <si>
    <t xml:space="preserve">ProForma</t>
  </si>
  <si>
    <t xml:space="preserve">Share of acquired EBITDA counted in 2027 ratio</t>
  </si>
  <si>
    <t xml:space="preserve">0 = conservative (deal closes late 2027 or ratio uses reported EBITDA). Ask Veolia whether the covenant/guidance ratio is pro forma.</t>
  </si>
  <si>
    <t xml:space="preserve">FX_H2</t>
  </si>
  <si>
    <t xml:space="preserve">FX / other on NFD, H2 2026</t>
  </si>
  <si>
    <t xml:space="preserve">H1-2026: -260 (p.26). USD share of debt has risen with Clean Earth.</t>
  </si>
  <si>
    <t xml:space="preserve">FX_27</t>
  </si>
  <si>
    <t xml:space="preserve">FX / other on NFD, 2027</t>
  </si>
  <si>
    <t xml:space="preserve">Positive = debt increases.</t>
  </si>
  <si>
    <t xml:space="preserve">Liquidity (for the cash-availability formula)</t>
  </si>
  <si>
    <t xml:space="preserve">Cash_J26</t>
  </si>
  <si>
    <t xml:space="preserve">Cash, cash equivalents and liquid assets 30/06/2026</t>
  </si>
  <si>
    <t xml:space="preserve">'Cash stands at EUR 9,332 million'. Equals 7,288 cash + 2,044 liquid assets (p.28).</t>
  </si>
  <si>
    <t xml:space="preserve">Undrawn_J26</t>
  </si>
  <si>
    <t xml:space="preserve">Undrawn committed credit lines 30/06/2026</t>
  </si>
  <si>
    <t xml:space="preserve">Syndicated loan 4,500 (matures 2030) + bilateral lines 1,373. Counted as 'permitted borrowing'; new bond issues are not counted.</t>
  </si>
  <si>
    <t xml:space="preserve">CurDebt_J26</t>
  </si>
  <si>
    <t xml:space="preserve">Current debt incl. overdrafts 30/06/2026 (due within 12 months)</t>
  </si>
  <si>
    <t xml:space="preserve">28</t>
  </si>
  <si>
    <t xml:space="preserve">Mostly commercial paper and bonds due by June 2027. Treated as repaid, not rolled over (prudent).</t>
  </si>
  <si>
    <t xml:space="preserve">Mat27</t>
  </si>
  <si>
    <t xml:space="preserve">Contractual debt flows due in calendar 2027</t>
  </si>
  <si>
    <t xml:space="preserve">Undiscounted, incl. interest, at 31/12/2025.</t>
  </si>
  <si>
    <t xml:space="preserve">Mat27H2</t>
  </si>
  <si>
    <t xml:space="preserve">Share of 2027 flows falling in H2 2027 (not already in current debt)</t>
  </si>
  <si>
    <t xml:space="preserve">Timing within 2027 not published.</t>
  </si>
  <si>
    <t xml:space="preserve">MinCash</t>
  </si>
  <si>
    <t xml:space="preserve">Minimum cash reserve</t>
  </si>
  <si>
    <t xml:space="preserve">No published floor. Veolia has held EUR 7-10bn of cash at every reporting date; EUR 2bn is a working floor to debate.</t>
  </si>
  <si>
    <t xml:space="preserve">Committed</t>
  </si>
  <si>
    <t xml:space="preserve">Investments already committed, not yet paid</t>
  </si>
  <si>
    <t xml:space="preserve">18</t>
  </si>
  <si>
    <t xml:space="preserve">The only securities purchase commitment at 31/12/2025 was Clean Earth, paid June 2026. Industrial capex is already inside net FCF.</t>
  </si>
  <si>
    <t xml:space="preserve">Rating cross-check (unverified - read the PDF before using)</t>
  </si>
  <si>
    <t xml:space="preserve">Moody_Fcst27</t>
  </si>
  <si>
    <t xml:space="preserve">Moody's forecast FFO / net debt 2027</t>
  </si>
  <si>
    <t xml:space="preserve">Moody's Credit Opinion 04/05/2026 (veolia.com) - NOT YET VERIFIED</t>
  </si>
  <si>
    <t xml:space="preserve">Search-result extract only; the PDF could not be downloaded from this environment.</t>
  </si>
  <si>
    <t xml:space="preserve">Moody_Trig</t>
  </si>
  <si>
    <t xml:space="preserve">Moody's downgrade threshold FFO / net debt ('below the high teens')</t>
  </si>
  <si>
    <t xml:space="preserve">'High teens' read as 18%. Agency wording, not a number: judgement.</t>
  </si>
  <si>
    <t xml:space="preserve">Legend: blue = sourced input; black = derived from other inputs; yellow fill = judgement call the group must defend.</t>
  </si>
  <si>
    <t xml:space="preserve">Period</t>
  </si>
  <si>
    <t xml:space="preserve">Item</t>
  </si>
  <si>
    <t xml:space="preserve">Gross acquisitions (EUR m)</t>
  </si>
  <si>
    <t xml:space="preserve">Disposals (EUR m)</t>
  </si>
  <si>
    <t xml:space="preserve">Basis</t>
  </si>
  <si>
    <t xml:space="preserve">Source</t>
  </si>
  <si>
    <t xml:space="preserve">Booster?</t>
  </si>
  <si>
    <t xml:space="preserve">A. Named deals (net financial investment as published)</t>
  </si>
  <si>
    <t xml:space="preserve">2024</t>
  </si>
  <si>
    <t xml:space="preserve">Friedrich Hofmann (recycling, Germany)</t>
  </si>
  <si>
    <t xml:space="preserve">Deal price</t>
  </si>
  <si>
    <t xml:space="preserve">No</t>
  </si>
  <si>
    <t xml:space="preserve">2025</t>
  </si>
  <si>
    <t xml:space="preserve">Danubius (electricity flexibility, Hungary)</t>
  </si>
  <si>
    <t xml:space="preserve">Net financial investment</t>
  </si>
  <si>
    <t xml:space="preserve">17</t>
  </si>
  <si>
    <t xml:space="preserve">Yes</t>
  </si>
  <si>
    <t xml:space="preserve">WTS 30% minority buy-out from CDPQ</t>
  </si>
  <si>
    <t xml:space="preserve">Purchase price (USD 1.75bn)</t>
  </si>
  <si>
    <t xml:space="preserve">US hazardous waste tuck-ins + Chameleon</t>
  </si>
  <si>
    <t xml:space="preserve">Zeeklite (hazardous waste, Japan)</t>
  </si>
  <si>
    <t xml:space="preserve">H1-26</t>
  </si>
  <si>
    <t xml:space="preserve">Enviropacific Services (Australia)</t>
  </si>
  <si>
    <t xml:space="preserve">27</t>
  </si>
  <si>
    <t xml:space="preserve">Clean Earth (US) incl. IFRS 16 debt and costs</t>
  </si>
  <si>
    <t xml:space="preserve">B. All financial flows (cash flow statement basis, comparable across years)</t>
  </si>
  <si>
    <t xml:space="preserve">Purchases of investments + NCI partial purchases / disposals + NCI sales</t>
  </si>
  <si>
    <t xml:space="preserve">Cash flow statement</t>
  </si>
  <si>
    <t xml:space="preserve">7-8</t>
  </si>
  <si>
    <t xml:space="preserve">Financial acquisitions / financial disposals (Veolia NFI basis)</t>
  </si>
  <si>
    <t xml:space="preserve">Net financial investments</t>
  </si>
  <si>
    <t xml:space="preserve">2023</t>
  </si>
  <si>
    <t xml:space="preserve">FY2023 not covered by the documents loaded (only H1-2023: -241 / +183)</t>
  </si>
  <si>
    <t xml:space="preserve">GAP</t>
  </si>
  <si>
    <t xml:space="preserve">Envelope announced (GreenUp 'EUR 4bn in growth investments')</t>
  </si>
  <si>
    <t xml:space="preserve">Briefing p.20 says 'acquisitions over 2023-2027'; the 2024 GreenUp text (H1-24 p.12) says '2024-2027 growth investments'. The scope is not the same thing.</t>
  </si>
  <si>
    <t xml:space="preserve">Named deals, gross</t>
  </si>
  <si>
    <t xml:space="preserve">Named deals in boosters</t>
  </si>
  <si>
    <t xml:space="preserve">Envelope says EUR 2bn prioritised for boosters.</t>
  </si>
  <si>
    <t xml:space="preserve">All financial acquisitions 2024-H1-26, gross</t>
  </si>
  <si>
    <t xml:space="preserve">Mixes CF-statement basis (2024-25) and NFI basis (H1-26): conservative order of magnitude.</t>
  </si>
  <si>
    <t xml:space="preserve">All financial disposals 2024-H1-26</t>
  </si>
  <si>
    <t xml:space="preserve">2024 includes SADE and Haikou (pre-programme).</t>
  </si>
  <si>
    <t xml:space="preserve">All financial acquisitions, net of disposals</t>
  </si>
  <si>
    <t xml:space="preserve">Envelope remaining - gross reading</t>
  </si>
  <si>
    <t xml:space="preserve">Negative = envelope already exceeded.</t>
  </si>
  <si>
    <t xml:space="preserve">Envelope remaining - net reading</t>
  </si>
  <si>
    <t xml:space="preserve">Metric (EUR m)</t>
  </si>
  <si>
    <t xml:space="preserve">Dec-24</t>
  </si>
  <si>
    <t xml:space="preserve">Jun-25</t>
  </si>
  <si>
    <t xml:space="preserve">Dec-25</t>
  </si>
  <si>
    <t xml:space="preserve">Jun-26</t>
  </si>
  <si>
    <t xml:space="preserve">Note</t>
  </si>
  <si>
    <t xml:space="preserve">Net financial debt (Veolia definition)</t>
  </si>
  <si>
    <t xml:space="preserve">Dec-25 statutory note shows 19,821: the 164 gap must be explained in the report.</t>
  </si>
  <si>
    <t xml:space="preserve">EBITDA - fiscal year / LTM</t>
  </si>
  <si>
    <t xml:space="preserve">June columns = last twelve months (FY - previous H1 + current H1).</t>
  </si>
  <si>
    <t xml:space="preserve">Leverage NFD / EBITDA</t>
  </si>
  <si>
    <t xml:space="preserve">June ratios are seasonally high (dividend and WCR outflows land in H1) - do not compare with the year-end 3x cap.</t>
  </si>
  <si>
    <t xml:space="preserve">Debt maturity profile at 31/12/2025 (undiscounted contractual flows incl. interest)</t>
  </si>
  <si>
    <t xml:space="preserve">Line (EUR m)</t>
  </si>
  <si>
    <t xml:space="preserve">2026</t>
  </si>
  <si>
    <t xml:space="preserve">2027</t>
  </si>
  <si>
    <t xml:space="preserve">2028</t>
  </si>
  <si>
    <t xml:space="preserve">2029</t>
  </si>
  <si>
    <t xml:space="preserve">Bond issues</t>
  </si>
  <si>
    <t xml:space="preserve">Consolidated financial statements 31/12/2025, PDF p.66</t>
  </si>
  <si>
    <t xml:space="preserve">Other liabilities and overdrafts</t>
  </si>
  <si>
    <t xml:space="preserve">IFRS 16 lease debt</t>
  </si>
  <si>
    <t xml:space="preserve">Total</t>
  </si>
  <si>
    <t xml:space="preserve">Liquidity and rating at 30/06/2026</t>
  </si>
  <si>
    <t xml:space="preserve">Total liquid assets</t>
  </si>
  <si>
    <t xml:space="preserve">H1-26 p.28</t>
  </si>
  <si>
    <t xml:space="preserve">Current debt incl. overdrafts</t>
  </si>
  <si>
    <t xml:space="preserve">Net liquidity</t>
  </si>
  <si>
    <t xml:space="preserve">Matches 3,831 published (p.14)</t>
  </si>
  <si>
    <t xml:space="preserve">2026 bond issues (Jan EUR 2.5bn + Apr EUR 1.0bn + Jun EUR 0.4bn convertible)</t>
  </si>
  <si>
    <t xml:space="preserve">H1-26 p.14: 2027 maturities pre-financed in part</t>
  </si>
  <si>
    <t xml:space="preserve">Rating</t>
  </si>
  <si>
    <t xml:space="preserve">BBB / Baa1, stable</t>
  </si>
  <si>
    <t xml:space="preserve">S&amp;P 27/04/2026, Moody's 04/05/2026 (H1-26 p.14)</t>
  </si>
  <si>
    <t xml:space="preserve">Bond/bank documentation financial covenants at parent</t>
  </si>
  <si>
    <t xml:space="preserve">None</t>
  </si>
  <si>
    <t xml:space="preserve">FY25 p.67: the 3x is a public commitment, not a covenant - the binding constraint is the rating</t>
  </si>
  <si>
    <t xml:space="preserve">Engine - one column per case (EUR m unless stated)</t>
  </si>
  <si>
    <t xml:space="preserve">Case</t>
  </si>
  <si>
    <t xml:space="preserve">EBITDA 2027 level - low</t>
  </si>
  <si>
    <t xml:space="preserve">EBITDA 2027 level - high</t>
  </si>
  <si>
    <t xml:space="preserve">Organic EBITDA growth 2027 - low</t>
  </si>
  <si>
    <t xml:space="preserve">Organic EBITDA growth 2027 - high</t>
  </si>
  <si>
    <t xml:space="preserve">Net FCF growth p.a. - low</t>
  </si>
  <si>
    <t xml:space="preserve">Net FCF growth p.a. - high</t>
  </si>
  <si>
    <t xml:space="preserve">Disposals cashed by end-2027 - low</t>
  </si>
  <si>
    <t xml:space="preserve">Disposals cashed by end-2027 - high</t>
  </si>
  <si>
    <t xml:space="preserve">Multiple on assets sold - low</t>
  </si>
  <si>
    <t xml:space="preserve">Multiple on assets sold - high</t>
  </si>
  <si>
    <t xml:space="preserve">Parent dividend growth 2027 - low</t>
  </si>
  <si>
    <t xml:space="preserve">Parent dividend growth 2027 - high</t>
  </si>
  <si>
    <t xml:space="preserve">FX / other on NFD 2027 (EUR m) - low</t>
  </si>
  <si>
    <t xml:space="preserve">FX / other on NFD 2027 (EUR m) - high</t>
  </si>
  <si>
    <t xml:space="preserve">Acquired EBITDA in 2027 ratio - low</t>
  </si>
  <si>
    <t xml:space="preserve">Acquired EBITDA in 2027 ratio - high</t>
  </si>
  <si>
    <t xml:space="preserve">Multiple paid on acquisitions - low</t>
  </si>
  <si>
    <t xml:space="preserve">Multiple paid on acquisitions - high</t>
  </si>
  <si>
    <t xml:space="preserve">Clean Earth EV/EBITDA (sets its EBITDA) - low</t>
  </si>
  <si>
    <t xml:space="preserve">Clean Earth EV/EBITDA (sets its EBITDA) - high</t>
  </si>
  <si>
    <t xml:space="preserve">Leverage cap - low</t>
  </si>
  <si>
    <t xml:space="preserve">Leverage cap - high</t>
  </si>
  <si>
    <t xml:space="preserve">Description</t>
  </si>
  <si>
    <t xml:space="preserve">Trajectory</t>
  </si>
  <si>
    <t xml:space="preserve">EBITDA 2027 = EUR 8.0bn</t>
  </si>
  <si>
    <t xml:space="preserve">Slower growth, half the disposals, USD/FX drag</t>
  </si>
  <si>
    <t xml:space="preserve">Full disposals by 2027, pro forma ratio</t>
  </si>
  <si>
    <t xml:space="preserve">Sensitivity</t>
  </si>
  <si>
    <t xml:space="preserve">Drivers (green = linked to Inputs, blue = case override)</t>
  </si>
  <si>
    <t xml:space="preserve">Calculation</t>
  </si>
  <si>
    <t xml:space="preserve">Clean Earth EBITDA 2026e, full year (EUR m)</t>
  </si>
  <si>
    <t xml:space="preserve">Clean Earth synergies in 2027 (EUR m)</t>
  </si>
  <si>
    <t xml:space="preserve">Net FCF FY2026e</t>
  </si>
  <si>
    <t xml:space="preserve">Net FCF H2 2026e (FY less H1 actual)</t>
  </si>
  <si>
    <t xml:space="preserve">Net FCF FY2027e</t>
  </si>
  <si>
    <t xml:space="preserve">Dividends + coupons H2 2026 (FY25 residual)</t>
  </si>
  <si>
    <t xml:space="preserve">Hybrid coupons 2027 (after Feb-26 redemption)</t>
  </si>
  <si>
    <t xml:space="preserve">Parent dividend 2027</t>
  </si>
  <si>
    <t xml:space="preserve">Total dividends, coupons, buyback 2027</t>
  </si>
  <si>
    <t xml:space="preserve">Disposals cashed Jul-26 to Dec-27</t>
  </si>
  <si>
    <t xml:space="preserve">  of which H2 2026</t>
  </si>
  <si>
    <t xml:space="preserve">  of which 2027</t>
  </si>
  <si>
    <t xml:space="preserve">EBITDA 2026e</t>
  </si>
  <si>
    <t xml:space="preserve">Check vs guidance '3x or slightly above'</t>
  </si>
  <si>
    <t xml:space="preserve">NFD 31/12/2027e before any new acquisition</t>
  </si>
  <si>
    <t xml:space="preserve">EBITDA 2027e before disposals (trajectory or override)</t>
  </si>
  <si>
    <t xml:space="preserve">EBITDA removed by disposals (H2-26 full year, 2027 half year)</t>
  </si>
  <si>
    <t xml:space="preserve">Leverage 31/12/2027e before new acquisitions</t>
  </si>
  <si>
    <t xml:space="preserve">Leverage headroom 31/12/2027 (debt room)</t>
  </si>
  <si>
    <t xml:space="preserve">ACQUISITION CAPACITY Jul-26 to Dec-27 (EV, EUR m)</t>
  </si>
  <si>
    <t xml:space="preserve">Source 1 - retained FCF (FCF less dividends, coupons, buyback, FX)</t>
  </si>
  <si>
    <t xml:space="preserve">Source 2 - disposals, net of the debt room they cost</t>
  </si>
  <si>
    <t xml:space="preserve">Source 3 - leverage room vs Jun-26 debt (cap x EBITDA before disposals - NFD Jun-26)</t>
  </si>
  <si>
    <t xml:space="preserve">Source 4 - acquired EBITDA counted in ratio (pro forma uplift)</t>
  </si>
  <si>
    <t xml:space="preserve">Check: sources sum to capacity</t>
  </si>
  <si>
    <t xml:space="preserve">Block 5 - one-way sensitivity of acquisition capacity (EUR m)</t>
  </si>
  <si>
    <t xml:space="preserve">Base capacity</t>
  </si>
  <si>
    <t xml:space="preserve">Driver</t>
  </si>
  <si>
    <t xml:space="preserve">Low input</t>
  </si>
  <si>
    <t xml:space="preserve">High input</t>
  </si>
  <si>
    <t xml:space="preserve">Capacity @ low</t>
  </si>
  <si>
    <t xml:space="preserve">Capacity @ high</t>
  </si>
  <si>
    <t xml:space="preserve">Swing</t>
  </si>
  <si>
    <t xml:space="preserve">Rank key</t>
  </si>
  <si>
    <t xml:space="preserve">EBITDA 2027 level</t>
  </si>
  <si>
    <t xml:space="preserve">Net FCF growth p.a.</t>
  </si>
  <si>
    <t xml:space="preserve">Disposals cashed by end-2027</t>
  </si>
  <si>
    <t xml:space="preserve">Multiple on assets sold</t>
  </si>
  <si>
    <t xml:space="preserve">FX / other on NFD 2027 (EUR m)</t>
  </si>
  <si>
    <t xml:space="preserve">Acquired EBITDA in 2027 ratio</t>
  </si>
  <si>
    <t xml:space="preserve">Multiple paid on acquisitions</t>
  </si>
  <si>
    <t xml:space="preserve">Clean Earth EV/EBITDA (sets its EBITDA)</t>
  </si>
  <si>
    <t xml:space="preserve">Leverage cap</t>
  </si>
  <si>
    <t xml:space="preserve">Ranked by swing</t>
  </si>
  <si>
    <t xml:space="preserve">Rank / driver</t>
  </si>
  <si>
    <t xml:space="preserve">Rating cross-check - is the agency trigger tighter than 3x? (LOW CONFIDENCE until PDF read)</t>
  </si>
  <si>
    <t xml:space="preserve">Moody's forecast FFO/net debt 2027</t>
  </si>
  <si>
    <t xml:space="preserve">Moody's metric, Moody's-adjusted debt: not comparable with Veolia NFD.</t>
  </si>
  <si>
    <t xml:space="preserve">Downgrade threshold (judgement on 'high teens')</t>
  </si>
  <si>
    <t xml:space="preserve">Extra debt tolerable before trigger, as % of Moody's forecast debt</t>
  </si>
  <si>
    <t xml:space="preserve">FFO held constant: the acquired company's FFO would add back some room.</t>
  </si>
  <si>
    <t xml:space="preserve">Applied to base-case NFD 31/12/2027 before M&amp;A (proxy)</t>
  </si>
  <si>
    <t xml:space="preserve">Proxy only: assumes Moody's forecast already embeds Veolia's plan.</t>
  </si>
  <si>
    <t xml:space="preserve">Compare: leverage headroom at 3.0x, base case</t>
  </si>
  <si>
    <t xml:space="preserve">Which constraint binds?</t>
  </si>
  <si>
    <t xml:space="preserve">To be redone once the Moody's and S&amp;P reports are attached.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</si>
</sst>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0\x"/>
    <numFmt numFmtId="167" formatCode="0.0%;\(0.0%\);\-"/>
    <numFmt numFmtId="168" formatCode="0.000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1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</row>
    <row r="4" customFormat="false" ht="15" hidden="false" customHeight="false" outlineLevel="0" collapsed="false">
      <c r="A4" s="2" t="s">
        <v>25</v>
      </c>
      <c r="B4" s="5" t="n">
        <f aca="false">Engine!$B$5</f>
        <v>24548</v>
      </c>
      <c r="C4" s="5" t="n">
        <f aca="false">Engine!$C$5</f>
        <v>24548</v>
      </c>
      <c r="D4" s="5" t="n">
        <f aca="false">Engine!$D$5</f>
        <v>24548</v>
      </c>
      <c r="E4" s="5" t="n">
        <f aca="false">Engine!$E$5</f>
        <v>24548</v>
      </c>
    </row>
    <row r="5" customFormat="false" ht="15" hidden="false" customHeight="false" outlineLevel="0" collapsed="false">
      <c r="A5" s="2" t="s">
        <v>26</v>
      </c>
      <c r="B5" s="5" t="n">
        <f aca="false">Engine!$B$54</f>
        <v>22982.1001250372</v>
      </c>
      <c r="C5" s="5" t="n">
        <f aca="false">Engine!$C$54</f>
        <v>22982.1001250372</v>
      </c>
      <c r="D5" s="5" t="n">
        <f aca="false">Engine!$D$54</f>
        <v>23100</v>
      </c>
      <c r="E5" s="5" t="n">
        <f aca="false">Engine!$E$54</f>
        <v>22882.1001250372</v>
      </c>
    </row>
    <row r="6" customFormat="false" ht="15" hidden="false" customHeight="false" outlineLevel="0" collapsed="false">
      <c r="A6" s="2" t="s">
        <v>27</v>
      </c>
      <c r="B6" s="6" t="n">
        <f aca="false">Engine!$B$56</f>
        <v>3.0771385020509</v>
      </c>
      <c r="C6" s="6" t="n">
        <f aca="false">Engine!$C$56</f>
        <v>3.0771385020509</v>
      </c>
      <c r="D6" s="6" t="n">
        <f aca="false">Engine!$D$56</f>
        <v>3.09292445036117</v>
      </c>
      <c r="E6" s="6" t="n">
        <f aca="false">Engine!$E$56</f>
        <v>3.06374921871601</v>
      </c>
    </row>
    <row r="7" customFormat="false" ht="15" hidden="false" customHeight="false" outlineLevel="0" collapsed="false">
      <c r="A7" s="2" t="s">
        <v>28</v>
      </c>
      <c r="B7" s="7" t="str">
        <f aca="false">Engine!$B$57</f>
        <v>consistent</v>
      </c>
      <c r="C7" s="7" t="str">
        <f aca="false">Engine!$C$57</f>
        <v>consistent</v>
      </c>
      <c r="D7" s="7" t="str">
        <f aca="false">Engine!$D$57</f>
        <v>consistent</v>
      </c>
      <c r="E7" s="7" t="str">
        <f aca="false">Engine!$E$57</f>
        <v>consistent</v>
      </c>
    </row>
    <row r="8" customFormat="false" ht="15" hidden="false" customHeight="false" outlineLevel="0" collapsed="false">
      <c r="A8" s="2" t="s">
        <v>29</v>
      </c>
      <c r="B8" s="5" t="n">
        <f aca="false">Engine!$B$61</f>
        <v>7848.37589470917</v>
      </c>
      <c r="C8" s="5" t="n">
        <f aca="false">Engine!$C$61</f>
        <v>7910</v>
      </c>
      <c r="D8" s="5" t="n">
        <f aca="false">Engine!$D$61</f>
        <v>7788.01530094701</v>
      </c>
      <c r="E8" s="5" t="n">
        <f aca="false">Engine!$E$61</f>
        <v>7913.73648847133</v>
      </c>
    </row>
    <row r="9" customFormat="false" ht="15" hidden="false" customHeight="false" outlineLevel="0" collapsed="false">
      <c r="A9" s="2" t="s">
        <v>30</v>
      </c>
      <c r="B9" s="5" t="n">
        <f aca="false">Engine!$B$58</f>
        <v>22191.8630181511</v>
      </c>
      <c r="C9" s="5" t="n">
        <f aca="false">Engine!$C$58</f>
        <v>22191.8630181511</v>
      </c>
      <c r="D9" s="5" t="n">
        <f aca="false">Engine!$D$58</f>
        <v>23045.8346341463</v>
      </c>
      <c r="E9" s="5" t="n">
        <f aca="false">Engine!$E$58</f>
        <v>21691.8630181511</v>
      </c>
    </row>
    <row r="10" customFormat="false" ht="15" hidden="false" customHeight="false" outlineLevel="0" collapsed="false">
      <c r="A10" s="2" t="s">
        <v>31</v>
      </c>
      <c r="B10" s="6" t="n">
        <f aca="false">Engine!$B$62</f>
        <v>2.8275739230471</v>
      </c>
      <c r="C10" s="6" t="n">
        <f aca="false">Engine!$C$62</f>
        <v>2.80554526146032</v>
      </c>
      <c r="D10" s="6" t="n">
        <f aca="false">Engine!$D$62</f>
        <v>2.95914090350388</v>
      </c>
      <c r="E10" s="6" t="n">
        <f aca="false">Engine!$E$62</f>
        <v>2.74103933707569</v>
      </c>
    </row>
    <row r="11" customFormat="false" ht="15" hidden="false" customHeight="false" outlineLevel="0" collapsed="false">
      <c r="A11" s="2" t="s">
        <v>32</v>
      </c>
      <c r="B11" s="5" t="n">
        <f aca="false">Engine!$B$63</f>
        <v>23545.1276841275</v>
      </c>
      <c r="C11" s="5" t="n">
        <f aca="false">Engine!$C$63</f>
        <v>23730</v>
      </c>
      <c r="D11" s="5" t="n">
        <f aca="false">Engine!$D$63</f>
        <v>23364.045902841</v>
      </c>
      <c r="E11" s="5" t="n">
        <f aca="false">Engine!$E$63</f>
        <v>23741.209465414</v>
      </c>
    </row>
    <row r="12" customFormat="false" ht="15" hidden="false" customHeight="false" outlineLevel="0" collapsed="false">
      <c r="A12" s="2" t="s">
        <v>33</v>
      </c>
      <c r="B12" s="5" t="n">
        <f aca="false">Engine!$B$64</f>
        <v>1353.26466597639</v>
      </c>
      <c r="C12" s="5" t="n">
        <f aca="false">Engine!$C$64</f>
        <v>1538.13698184887</v>
      </c>
      <c r="D12" s="5" t="n">
        <f aca="false">Engine!$D$64</f>
        <v>318.211268694693</v>
      </c>
      <c r="E12" s="5" t="n">
        <f aca="false">Engine!$E$64</f>
        <v>2049.34644726287</v>
      </c>
    </row>
    <row r="13" customFormat="false" ht="15" hidden="false" customHeight="false" outlineLevel="0" collapsed="false">
      <c r="A13" s="3" t="s">
        <v>34</v>
      </c>
      <c r="B13" s="8" t="n">
        <f aca="false">Engine!$B$65</f>
        <v>1353.26466597639</v>
      </c>
      <c r="C13" s="8" t="n">
        <f aca="false">Engine!$C$65</f>
        <v>1538.13698184887</v>
      </c>
      <c r="D13" s="8" t="n">
        <f aca="false">Engine!$D$65</f>
        <v>318.211268694693</v>
      </c>
      <c r="E13" s="8" t="n">
        <f aca="false">Engine!$E$65</f>
        <v>2927.6377818041</v>
      </c>
    </row>
    <row r="14" customFormat="false" ht="15" hidden="false" customHeight="false" outlineLevel="0" collapsed="false">
      <c r="A14" s="2" t="s">
        <v>35</v>
      </c>
      <c r="B14" s="5" t="n">
        <f aca="false">Engine!$B$66</f>
        <v>856.136981848868</v>
      </c>
      <c r="C14" s="5" t="n">
        <f aca="false">Engine!$C$66</f>
        <v>856.136981848868</v>
      </c>
      <c r="D14" s="5" t="n">
        <f aca="false">Engine!$D$66</f>
        <v>502.165365853658</v>
      </c>
      <c r="E14" s="5" t="n">
        <f aca="false">Engine!$E$66</f>
        <v>856.136981848868</v>
      </c>
    </row>
    <row r="15" customFormat="false" ht="15" hidden="false" customHeight="false" outlineLevel="0" collapsed="false">
      <c r="A15" s="2" t="s">
        <v>36</v>
      </c>
      <c r="B15" s="5" t="n">
        <f aca="false">Engine!$B$67</f>
        <v>1230</v>
      </c>
      <c r="C15" s="5" t="n">
        <f aca="false">Engine!$C$67</f>
        <v>1230</v>
      </c>
      <c r="D15" s="5" t="n">
        <f aca="false">Engine!$D$67</f>
        <v>775</v>
      </c>
      <c r="E15" s="5" t="n">
        <f aca="false">Engine!$E$67</f>
        <v>1700</v>
      </c>
    </row>
    <row r="16" customFormat="false" ht="15" hidden="false" customHeight="false" outlineLevel="0" collapsed="false">
      <c r="A16" s="2" t="s">
        <v>37</v>
      </c>
      <c r="B16" s="5" t="n">
        <f aca="false">Engine!$B$68</f>
        <v>-732.872315872482</v>
      </c>
      <c r="C16" s="5" t="n">
        <f aca="false">Engine!$C$68</f>
        <v>-548</v>
      </c>
      <c r="D16" s="5" t="n">
        <f aca="false">Engine!$D$68</f>
        <v>-958.954097158967</v>
      </c>
      <c r="E16" s="5" t="n">
        <f aca="false">Engine!$E$68</f>
        <v>-506.790534585998</v>
      </c>
    </row>
    <row r="17" customFormat="false" ht="15" hidden="false" customHeight="false" outlineLevel="0" collapsed="false">
      <c r="A17" s="2" t="s">
        <v>38</v>
      </c>
      <c r="B17" s="5" t="n">
        <f aca="false">Engine!$B$69</f>
        <v>0</v>
      </c>
      <c r="C17" s="5" t="n">
        <f aca="false">Engine!$C$69</f>
        <v>0</v>
      </c>
      <c r="D17" s="5" t="n">
        <f aca="false">Engine!$D$69</f>
        <v>0</v>
      </c>
      <c r="E17" s="5" t="n">
        <f aca="false">Engine!$E$69</f>
        <v>878.29133454123</v>
      </c>
    </row>
    <row r="19" customFormat="false" ht="15" hidden="false" customHeight="false" outlineLevel="0" collapsed="false">
      <c r="A19" s="3" t="s">
        <v>39</v>
      </c>
    </row>
    <row r="20" customFormat="false" ht="15" hidden="false" customHeight="false" outlineLevel="0" collapsed="false">
      <c r="A20" s="2" t="s">
        <v>40</v>
      </c>
      <c r="B20" s="9" t="n">
        <f aca="false">MIN(B13:E13)</f>
        <v>318.211268694693</v>
      </c>
    </row>
    <row r="21" customFormat="false" ht="15" hidden="false" customHeight="false" outlineLevel="0" collapsed="false">
      <c r="A21" s="2" t="s">
        <v>41</v>
      </c>
      <c r="B21" s="9" t="n">
        <f aca="false">MAX(B13:E13)</f>
        <v>2927.6377818041</v>
      </c>
    </row>
    <row r="23" customFormat="false" ht="15" hidden="false" customHeight="false" outlineLevel="0" collapsed="false">
      <c r="A23" s="3" t="s">
        <v>42</v>
      </c>
    </row>
    <row r="24" customFormat="false" ht="15" hidden="false" customHeight="false" outlineLevel="0" collapsed="false">
      <c r="A24" s="2" t="s">
        <v>43</v>
      </c>
      <c r="B24" s="5" t="n">
        <f aca="false">Spent!$C$22</f>
        <v>-1721</v>
      </c>
      <c r="C24" s="5" t="n">
        <f aca="false">Spent!$C$23</f>
        <v>-602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44</v>
      </c>
    </row>
    <row r="3" customFormat="false" ht="15" hidden="false" customHeight="false" outlineLevel="0" collapsed="false">
      <c r="A3" s="10" t="s">
        <v>45</v>
      </c>
      <c r="B3" s="11"/>
      <c r="C3" s="11"/>
    </row>
    <row r="4" customFormat="false" ht="15" hidden="false" customHeight="false" outlineLevel="0" collapsed="false">
      <c r="A4" s="2" t="s">
        <v>46</v>
      </c>
      <c r="B4" s="12" t="n">
        <f aca="false">Inputs!$C$3/Start!E3</f>
        <v>3.39295093296475</v>
      </c>
      <c r="C4" s="13" t="s">
        <v>47</v>
      </c>
    </row>
    <row r="5" customFormat="false" ht="15" hidden="false" customHeight="false" outlineLevel="0" collapsed="false">
      <c r="A5" s="2" t="s">
        <v>48</v>
      </c>
      <c r="B5" s="14" t="n">
        <f aca="false">Inputs!$C$52*Start!E3-Inputs!$C$3</f>
        <v>-2843</v>
      </c>
      <c r="C5" s="13" t="s">
        <v>49</v>
      </c>
    </row>
    <row r="6" customFormat="false" ht="15" hidden="false" customHeight="false" outlineLevel="0" collapsed="false">
      <c r="A6" s="10" t="s">
        <v>50</v>
      </c>
      <c r="B6" s="11"/>
      <c r="C6" s="11"/>
    </row>
    <row r="7" customFormat="false" ht="15" hidden="false" customHeight="false" outlineLevel="0" collapsed="false">
      <c r="A7" s="2" t="s">
        <v>46</v>
      </c>
      <c r="B7" s="12" t="n">
        <f aca="false">Engine!$B$62</f>
        <v>2.8275739230471</v>
      </c>
      <c r="C7" s="13" t="s">
        <v>51</v>
      </c>
    </row>
    <row r="8" customFormat="false" ht="15" hidden="false" customHeight="false" outlineLevel="0" collapsed="false">
      <c r="A8" s="2" t="s">
        <v>52</v>
      </c>
      <c r="B8" s="14" t="n">
        <f aca="false">Engine!$B$64</f>
        <v>1353.26466597639</v>
      </c>
      <c r="C8" s="13" t="s">
        <v>53</v>
      </c>
    </row>
    <row r="9" customFormat="false" ht="15" hidden="false" customHeight="false" outlineLevel="0" collapsed="false">
      <c r="A9" s="10" t="s">
        <v>54</v>
      </c>
      <c r="B9" s="11"/>
      <c r="C9" s="11"/>
    </row>
    <row r="10" customFormat="false" ht="15" hidden="false" customHeight="false" outlineLevel="0" collapsed="false">
      <c r="A10" s="2" t="s">
        <v>55</v>
      </c>
      <c r="B10" s="14" t="n">
        <f aca="false">Inputs!$C$59</f>
        <v>9332</v>
      </c>
      <c r="C10" s="13"/>
    </row>
    <row r="11" customFormat="false" ht="15" hidden="false" customHeight="false" outlineLevel="0" collapsed="false">
      <c r="A11" s="2" t="s">
        <v>56</v>
      </c>
      <c r="B11" s="14" t="n">
        <f aca="false">Engine!$B$45+Engine!$B$46</f>
        <v>2697.97161599521</v>
      </c>
      <c r="C11" s="13" t="s">
        <v>57</v>
      </c>
    </row>
    <row r="12" customFormat="false" ht="15" hidden="false" customHeight="false" outlineLevel="0" collapsed="false">
      <c r="A12" s="2" t="s">
        <v>58</v>
      </c>
      <c r="B12" s="14" t="n">
        <f aca="false">-(Engine!$B$47+Engine!$B$18+Engine!$B$50)</f>
        <v>-1841.83463414634</v>
      </c>
      <c r="C12" s="13"/>
    </row>
    <row r="13" customFormat="false" ht="15" hidden="false" customHeight="false" outlineLevel="0" collapsed="false">
      <c r="A13" s="2" t="s">
        <v>59</v>
      </c>
      <c r="B13" s="14" t="n">
        <f aca="false">Engine!$B$51</f>
        <v>1500</v>
      </c>
      <c r="C13" s="13"/>
    </row>
    <row r="14" customFormat="false" ht="15" hidden="false" customHeight="false" outlineLevel="0" collapsed="false">
      <c r="A14" s="2" t="s">
        <v>60</v>
      </c>
      <c r="B14" s="14" t="n">
        <f aca="false">Inputs!$C$60</f>
        <v>5873</v>
      </c>
      <c r="C14" s="13" t="s">
        <v>61</v>
      </c>
    </row>
    <row r="15" customFormat="false" ht="15" hidden="false" customHeight="false" outlineLevel="0" collapsed="false">
      <c r="A15" s="2" t="s">
        <v>62</v>
      </c>
      <c r="B15" s="14" t="n">
        <f aca="false">-(Inputs!$C$61+Inputs!$C$62*Inputs!$C$63)</f>
        <v>-13319.5</v>
      </c>
      <c r="C15" s="13" t="s">
        <v>63</v>
      </c>
    </row>
    <row r="16" customFormat="false" ht="15" hidden="false" customHeight="false" outlineLevel="0" collapsed="false">
      <c r="A16" s="2" t="s">
        <v>64</v>
      </c>
      <c r="B16" s="14" t="n">
        <f aca="false">-Inputs!$C$65</f>
        <v>-0</v>
      </c>
      <c r="C16" s="13"/>
    </row>
    <row r="17" customFormat="false" ht="15" hidden="false" customHeight="false" outlineLevel="0" collapsed="false">
      <c r="A17" s="2" t="s">
        <v>65</v>
      </c>
      <c r="B17" s="14" t="n">
        <f aca="false">-Inputs!$C$64</f>
        <v>-2000</v>
      </c>
      <c r="C17" s="13"/>
    </row>
    <row r="18" customFormat="false" ht="15" hidden="false" customHeight="false" outlineLevel="0" collapsed="false">
      <c r="A18" s="3" t="s">
        <v>66</v>
      </c>
      <c r="B18" s="9" t="n">
        <f aca="false">SUM(B10:B17)</f>
        <v>2241.63698184887</v>
      </c>
      <c r="C18" s="13" t="s">
        <v>67</v>
      </c>
    </row>
    <row r="19" customFormat="false" ht="15" hidden="false" customHeight="false" outlineLevel="0" collapsed="false">
      <c r="A19" s="10" t="s">
        <v>68</v>
      </c>
      <c r="B19" s="11"/>
      <c r="C19" s="11"/>
    </row>
    <row r="20" customFormat="false" ht="15" hidden="false" customHeight="false" outlineLevel="0" collapsed="false">
      <c r="A20" s="2" t="s">
        <v>69</v>
      </c>
      <c r="B20" s="14" t="n">
        <f aca="false">MIN(B18,B8+B11+B12)-Inputs!$C$65</f>
        <v>2209.40164782525</v>
      </c>
      <c r="C20" s="13" t="s">
        <v>70</v>
      </c>
    </row>
    <row r="21" customFormat="false" ht="15" hidden="false" customHeight="false" outlineLevel="0" collapsed="false">
      <c r="A21" s="3" t="s">
        <v>71</v>
      </c>
      <c r="B21" s="15" t="n">
        <f aca="false">MIN(B18,B8)-Inputs!$C$65</f>
        <v>1353.26466597639</v>
      </c>
      <c r="C21" s="13" t="s">
        <v>72</v>
      </c>
    </row>
    <row r="22" customFormat="false" ht="15" hidden="false" customHeight="false" outlineLevel="0" collapsed="false">
      <c r="A22" s="2" t="s">
        <v>73</v>
      </c>
      <c r="B22" s="2" t="str">
        <f aca="false">IF(B18&lt;B8,"Cash","Leverage (3x)")</f>
        <v>Leverage (3x)</v>
      </c>
      <c r="C22" s="13"/>
    </row>
    <row r="23" customFormat="false" ht="15" hidden="false" customHeight="false" outlineLevel="0" collapsed="false">
      <c r="A23" s="2" t="s">
        <v>74</v>
      </c>
      <c r="B23" s="14" t="n">
        <f aca="false">MIN(B18,B8/(1-Inputs!$C$52/Inputs!$C$54))-Inputs!$C$65</f>
        <v>1933.23523710912</v>
      </c>
      <c r="C23" s="1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8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4" t="s">
        <v>76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</row>
    <row r="2" customFormat="false" ht="15" hidden="false" customHeight="false" outlineLevel="0" collapsed="false">
      <c r="A2" s="10" t="s">
        <v>84</v>
      </c>
      <c r="B2" s="11"/>
      <c r="C2" s="11"/>
      <c r="D2" s="11"/>
      <c r="E2" s="11"/>
      <c r="F2" s="11"/>
      <c r="G2" s="11"/>
      <c r="H2" s="11"/>
    </row>
    <row r="3" customFormat="false" ht="23.85" hidden="false" customHeight="false" outlineLevel="0" collapsed="false">
      <c r="A3" s="16" t="s">
        <v>85</v>
      </c>
      <c r="B3" s="16" t="s">
        <v>86</v>
      </c>
      <c r="C3" s="17" t="n">
        <v>24548</v>
      </c>
      <c r="D3" s="16" t="s">
        <v>87</v>
      </c>
      <c r="E3" s="16" t="s">
        <v>88</v>
      </c>
      <c r="F3" s="16" t="s">
        <v>89</v>
      </c>
      <c r="G3" s="16" t="s">
        <v>90</v>
      </c>
      <c r="H3" s="16" t="s">
        <v>41</v>
      </c>
    </row>
    <row r="4" customFormat="false" ht="23.85" hidden="false" customHeight="false" outlineLevel="0" collapsed="false">
      <c r="A4" s="16" t="s">
        <v>91</v>
      </c>
      <c r="B4" s="16" t="s">
        <v>92</v>
      </c>
      <c r="C4" s="17" t="n">
        <v>19657</v>
      </c>
      <c r="D4" s="16" t="s">
        <v>87</v>
      </c>
      <c r="E4" s="16" t="s">
        <v>88</v>
      </c>
      <c r="F4" s="16" t="s">
        <v>93</v>
      </c>
      <c r="G4" s="16" t="s">
        <v>94</v>
      </c>
      <c r="H4" s="16" t="s">
        <v>41</v>
      </c>
    </row>
    <row r="5" customFormat="false" ht="23.85" hidden="false" customHeight="false" outlineLevel="0" collapsed="false">
      <c r="A5" s="16" t="s">
        <v>95</v>
      </c>
      <c r="B5" s="16" t="s">
        <v>96</v>
      </c>
      <c r="C5" s="17" t="n">
        <v>19821</v>
      </c>
      <c r="D5" s="16" t="s">
        <v>87</v>
      </c>
      <c r="E5" s="16" t="s">
        <v>97</v>
      </c>
      <c r="F5" s="16" t="s">
        <v>98</v>
      </c>
      <c r="G5" s="16" t="s">
        <v>99</v>
      </c>
      <c r="H5" s="16" t="s">
        <v>41</v>
      </c>
    </row>
    <row r="6" customFormat="false" ht="23.85" hidden="false" customHeight="false" outlineLevel="0" collapsed="false">
      <c r="A6" s="16" t="s">
        <v>100</v>
      </c>
      <c r="B6" s="16" t="s">
        <v>101</v>
      </c>
      <c r="C6" s="17" t="n">
        <v>17819</v>
      </c>
      <c r="D6" s="16" t="s">
        <v>87</v>
      </c>
      <c r="E6" s="16" t="s">
        <v>88</v>
      </c>
      <c r="F6" s="16" t="s">
        <v>102</v>
      </c>
      <c r="G6" s="16" t="s">
        <v>103</v>
      </c>
      <c r="H6" s="16" t="s">
        <v>41</v>
      </c>
    </row>
    <row r="7" customFormat="false" ht="23.85" hidden="false" customHeight="false" outlineLevel="0" collapsed="false">
      <c r="A7" s="16" t="s">
        <v>104</v>
      </c>
      <c r="B7" s="16" t="s">
        <v>105</v>
      </c>
      <c r="C7" s="17" t="n">
        <v>20764</v>
      </c>
      <c r="D7" s="16" t="s">
        <v>87</v>
      </c>
      <c r="E7" s="16" t="s">
        <v>88</v>
      </c>
      <c r="F7" s="16" t="s">
        <v>89</v>
      </c>
      <c r="G7" s="16"/>
      <c r="H7" s="16" t="s">
        <v>41</v>
      </c>
    </row>
    <row r="8" customFormat="false" ht="23.85" hidden="false" customHeight="false" outlineLevel="0" collapsed="false">
      <c r="A8" s="16" t="s">
        <v>106</v>
      </c>
      <c r="B8" s="16" t="s">
        <v>107</v>
      </c>
      <c r="C8" s="17" t="n">
        <v>17903</v>
      </c>
      <c r="D8" s="16" t="s">
        <v>87</v>
      </c>
      <c r="E8" s="16" t="s">
        <v>108</v>
      </c>
      <c r="F8" s="16" t="s">
        <v>102</v>
      </c>
      <c r="G8" s="16" t="s">
        <v>109</v>
      </c>
      <c r="H8" s="16" t="s">
        <v>41</v>
      </c>
    </row>
    <row r="9" customFormat="false" ht="23.85" hidden="false" customHeight="false" outlineLevel="0" collapsed="false">
      <c r="A9" s="16" t="s">
        <v>110</v>
      </c>
      <c r="B9" s="16" t="s">
        <v>111</v>
      </c>
      <c r="C9" s="17" t="n">
        <v>6788</v>
      </c>
      <c r="D9" s="16" t="s">
        <v>87</v>
      </c>
      <c r="E9" s="16" t="s">
        <v>88</v>
      </c>
      <c r="F9" s="16" t="s">
        <v>102</v>
      </c>
      <c r="G9" s="16"/>
      <c r="H9" s="16" t="s">
        <v>41</v>
      </c>
    </row>
    <row r="10" customFormat="false" ht="23.85" hidden="false" customHeight="false" outlineLevel="0" collapsed="false">
      <c r="A10" s="16" t="s">
        <v>112</v>
      </c>
      <c r="B10" s="16" t="s">
        <v>113</v>
      </c>
      <c r="C10" s="17" t="n">
        <v>7050</v>
      </c>
      <c r="D10" s="16" t="s">
        <v>87</v>
      </c>
      <c r="E10" s="16" t="s">
        <v>88</v>
      </c>
      <c r="F10" s="16" t="s">
        <v>102</v>
      </c>
      <c r="G10" s="16"/>
      <c r="H10" s="16" t="s">
        <v>41</v>
      </c>
    </row>
    <row r="11" customFormat="false" ht="23.85" hidden="false" customHeight="false" outlineLevel="0" collapsed="false">
      <c r="A11" s="16" t="s">
        <v>114</v>
      </c>
      <c r="B11" s="16" t="s">
        <v>115</v>
      </c>
      <c r="C11" s="17" t="n">
        <v>3266</v>
      </c>
      <c r="D11" s="16" t="s">
        <v>87</v>
      </c>
      <c r="E11" s="16" t="s">
        <v>108</v>
      </c>
      <c r="F11" s="16" t="s">
        <v>102</v>
      </c>
      <c r="G11" s="16" t="s">
        <v>116</v>
      </c>
      <c r="H11" s="16" t="s">
        <v>117</v>
      </c>
    </row>
    <row r="12" customFormat="false" ht="23.85" hidden="false" customHeight="false" outlineLevel="0" collapsed="false">
      <c r="A12" s="16" t="s">
        <v>118</v>
      </c>
      <c r="B12" s="16" t="s">
        <v>119</v>
      </c>
      <c r="C12" s="17" t="n">
        <v>3367</v>
      </c>
      <c r="D12" s="16" t="s">
        <v>87</v>
      </c>
      <c r="E12" s="16" t="s">
        <v>88</v>
      </c>
      <c r="F12" s="16" t="s">
        <v>102</v>
      </c>
      <c r="G12" s="16"/>
      <c r="H12" s="16" t="s">
        <v>41</v>
      </c>
    </row>
    <row r="13" customFormat="false" ht="23.85" hidden="false" customHeight="false" outlineLevel="0" collapsed="false">
      <c r="A13" s="16" t="s">
        <v>120</v>
      </c>
      <c r="B13" s="16" t="s">
        <v>121</v>
      </c>
      <c r="C13" s="17" t="n">
        <v>3552</v>
      </c>
      <c r="D13" s="16" t="s">
        <v>87</v>
      </c>
      <c r="E13" s="16" t="s">
        <v>88</v>
      </c>
      <c r="F13" s="16" t="s">
        <v>102</v>
      </c>
      <c r="G13" s="16"/>
      <c r="H13" s="16" t="s">
        <v>41</v>
      </c>
    </row>
    <row r="14" customFormat="false" ht="15" hidden="false" customHeight="false" outlineLevel="0" collapsed="false">
      <c r="A14" s="10" t="s">
        <v>122</v>
      </c>
      <c r="B14" s="11"/>
      <c r="C14" s="11"/>
      <c r="D14" s="11"/>
      <c r="E14" s="11"/>
      <c r="F14" s="11"/>
      <c r="G14" s="11"/>
      <c r="H14" s="11"/>
    </row>
    <row r="15" customFormat="false" ht="23.85" hidden="false" customHeight="false" outlineLevel="0" collapsed="false">
      <c r="A15" s="16" t="s">
        <v>123</v>
      </c>
      <c r="B15" s="16" t="s">
        <v>124</v>
      </c>
      <c r="C15" s="17" t="n">
        <v>1143</v>
      </c>
      <c r="D15" s="16" t="s">
        <v>87</v>
      </c>
      <c r="E15" s="16" t="s">
        <v>108</v>
      </c>
      <c r="F15" s="16" t="s">
        <v>102</v>
      </c>
      <c r="G15" s="16"/>
      <c r="H15" s="16" t="s">
        <v>41</v>
      </c>
    </row>
    <row r="16" customFormat="false" ht="23.85" hidden="false" customHeight="false" outlineLevel="0" collapsed="false">
      <c r="A16" s="16" t="s">
        <v>125</v>
      </c>
      <c r="B16" s="16" t="s">
        <v>126</v>
      </c>
      <c r="C16" s="17" t="n">
        <v>1156</v>
      </c>
      <c r="D16" s="16" t="s">
        <v>87</v>
      </c>
      <c r="E16" s="16" t="s">
        <v>88</v>
      </c>
      <c r="F16" s="16" t="s">
        <v>102</v>
      </c>
      <c r="G16" s="16"/>
      <c r="H16" s="16" t="s">
        <v>41</v>
      </c>
    </row>
    <row r="17" customFormat="false" ht="23.85" hidden="false" customHeight="false" outlineLevel="0" collapsed="false">
      <c r="A17" s="16" t="s">
        <v>127</v>
      </c>
      <c r="B17" s="16" t="s">
        <v>128</v>
      </c>
      <c r="C17" s="17" t="n">
        <v>1178</v>
      </c>
      <c r="D17" s="16" t="s">
        <v>87</v>
      </c>
      <c r="E17" s="16" t="s">
        <v>88</v>
      </c>
      <c r="F17" s="16" t="s">
        <v>102</v>
      </c>
      <c r="G17" s="16"/>
      <c r="H17" s="16" t="s">
        <v>41</v>
      </c>
    </row>
    <row r="18" customFormat="false" ht="23.85" hidden="false" customHeight="false" outlineLevel="0" collapsed="false">
      <c r="A18" s="16" t="s">
        <v>129</v>
      </c>
      <c r="B18" s="16" t="s">
        <v>130</v>
      </c>
      <c r="C18" s="17" t="n">
        <v>-451</v>
      </c>
      <c r="D18" s="16" t="s">
        <v>87</v>
      </c>
      <c r="E18" s="16" t="s">
        <v>88</v>
      </c>
      <c r="F18" s="16" t="s">
        <v>89</v>
      </c>
      <c r="G18" s="16"/>
      <c r="H18" s="16" t="s">
        <v>41</v>
      </c>
    </row>
    <row r="19" customFormat="false" ht="23.85" hidden="false" customHeight="false" outlineLevel="0" collapsed="false">
      <c r="A19" s="16" t="s">
        <v>131</v>
      </c>
      <c r="B19" s="16" t="s">
        <v>132</v>
      </c>
      <c r="C19" s="17" t="n">
        <v>-288</v>
      </c>
      <c r="D19" s="16" t="s">
        <v>87</v>
      </c>
      <c r="E19" s="16" t="s">
        <v>88</v>
      </c>
      <c r="F19" s="16" t="s">
        <v>89</v>
      </c>
      <c r="G19" s="16"/>
      <c r="H19" s="16" t="s">
        <v>41</v>
      </c>
    </row>
    <row r="20" customFormat="false" ht="23.85" hidden="false" customHeight="false" outlineLevel="0" collapsed="false">
      <c r="A20" s="16" t="s">
        <v>133</v>
      </c>
      <c r="B20" s="16" t="s">
        <v>134</v>
      </c>
      <c r="C20" s="18" t="n">
        <f aca="false">($C$17/$C$15)^(1/2)-1</f>
        <v>0.0151951400363655</v>
      </c>
      <c r="D20" s="16" t="s">
        <v>135</v>
      </c>
      <c r="E20" s="16" t="s">
        <v>136</v>
      </c>
      <c r="F20" s="16"/>
      <c r="G20" s="16" t="s">
        <v>137</v>
      </c>
      <c r="H20" s="16" t="s">
        <v>117</v>
      </c>
    </row>
    <row r="21" customFormat="false" ht="23.85" hidden="false" customHeight="false" outlineLevel="0" collapsed="false">
      <c r="A21" s="16" t="s">
        <v>138</v>
      </c>
      <c r="B21" s="16" t="s">
        <v>139</v>
      </c>
      <c r="C21" s="19" t="n">
        <v>0</v>
      </c>
      <c r="D21" s="16" t="s">
        <v>87</v>
      </c>
      <c r="E21" s="16" t="s">
        <v>140</v>
      </c>
      <c r="F21" s="16"/>
      <c r="G21" s="16" t="s">
        <v>141</v>
      </c>
      <c r="H21" s="16" t="s">
        <v>40</v>
      </c>
    </row>
    <row r="22" customFormat="false" ht="15" hidden="false" customHeight="false" outlineLevel="0" collapsed="false">
      <c r="A22" s="10" t="s">
        <v>142</v>
      </c>
      <c r="B22" s="11"/>
      <c r="C22" s="11"/>
      <c r="D22" s="11"/>
      <c r="E22" s="11"/>
      <c r="F22" s="11"/>
      <c r="G22" s="11"/>
      <c r="H22" s="11"/>
    </row>
    <row r="23" customFormat="false" ht="23.85" hidden="false" customHeight="false" outlineLevel="0" collapsed="false">
      <c r="A23" s="16" t="s">
        <v>143</v>
      </c>
      <c r="B23" s="16" t="s">
        <v>144</v>
      </c>
      <c r="C23" s="17" t="n">
        <v>1099</v>
      </c>
      <c r="D23" s="16" t="s">
        <v>87</v>
      </c>
      <c r="E23" s="16" t="s">
        <v>88</v>
      </c>
      <c r="F23" s="16" t="s">
        <v>145</v>
      </c>
      <c r="G23" s="16" t="s">
        <v>146</v>
      </c>
      <c r="H23" s="16" t="s">
        <v>41</v>
      </c>
    </row>
    <row r="24" customFormat="false" ht="23.85" hidden="false" customHeight="false" outlineLevel="0" collapsed="false">
      <c r="A24" s="16" t="s">
        <v>147</v>
      </c>
      <c r="B24" s="16" t="s">
        <v>148</v>
      </c>
      <c r="C24" s="20" t="n">
        <v>0.08</v>
      </c>
      <c r="D24" s="16" t="s">
        <v>135</v>
      </c>
      <c r="E24" s="16" t="s">
        <v>88</v>
      </c>
      <c r="F24" s="16" t="s">
        <v>149</v>
      </c>
      <c r="G24" s="16" t="s">
        <v>150</v>
      </c>
      <c r="H24" s="16" t="s">
        <v>117</v>
      </c>
    </row>
    <row r="25" customFormat="false" ht="35.05" hidden="false" customHeight="false" outlineLevel="0" collapsed="false">
      <c r="A25" s="16" t="s">
        <v>151</v>
      </c>
      <c r="B25" s="16" t="s">
        <v>152</v>
      </c>
      <c r="C25" s="17" t="n">
        <f aca="false">$C$26-$C$27</f>
        <v>257</v>
      </c>
      <c r="D25" s="16" t="s">
        <v>87</v>
      </c>
      <c r="E25" s="16" t="s">
        <v>153</v>
      </c>
      <c r="F25" s="16" t="s">
        <v>154</v>
      </c>
      <c r="G25" s="16" t="s">
        <v>155</v>
      </c>
      <c r="H25" s="16" t="s">
        <v>117</v>
      </c>
    </row>
    <row r="26" customFormat="false" ht="15" hidden="false" customHeight="false" outlineLevel="0" collapsed="false">
      <c r="A26" s="16" t="s">
        <v>156</v>
      </c>
      <c r="B26" s="16" t="s">
        <v>157</v>
      </c>
      <c r="C26" s="17" t="n">
        <v>1280</v>
      </c>
      <c r="D26" s="16" t="s">
        <v>87</v>
      </c>
      <c r="E26" s="16" t="s">
        <v>97</v>
      </c>
      <c r="F26" s="16" t="s">
        <v>158</v>
      </c>
      <c r="G26" s="16" t="s">
        <v>159</v>
      </c>
      <c r="H26" s="16" t="s">
        <v>41</v>
      </c>
    </row>
    <row r="27" customFormat="false" ht="23.85" hidden="false" customHeight="false" outlineLevel="0" collapsed="false">
      <c r="A27" s="16" t="s">
        <v>160</v>
      </c>
      <c r="B27" s="16" t="s">
        <v>161</v>
      </c>
      <c r="C27" s="17" t="n">
        <v>1023</v>
      </c>
      <c r="D27" s="16" t="s">
        <v>87</v>
      </c>
      <c r="E27" s="16" t="s">
        <v>88</v>
      </c>
      <c r="F27" s="16" t="s">
        <v>102</v>
      </c>
      <c r="G27" s="16" t="s">
        <v>162</v>
      </c>
      <c r="H27" s="16" t="s">
        <v>117</v>
      </c>
    </row>
    <row r="28" customFormat="false" ht="15" hidden="false" customHeight="false" outlineLevel="0" collapsed="false">
      <c r="A28" s="16" t="s">
        <v>163</v>
      </c>
      <c r="B28" s="16" t="s">
        <v>164</v>
      </c>
      <c r="C28" s="17" t="n">
        <v>121</v>
      </c>
      <c r="D28" s="16" t="s">
        <v>87</v>
      </c>
      <c r="E28" s="16" t="s">
        <v>97</v>
      </c>
      <c r="F28" s="16" t="s">
        <v>158</v>
      </c>
      <c r="G28" s="16"/>
      <c r="H28" s="16" t="s">
        <v>41</v>
      </c>
    </row>
    <row r="29" customFormat="false" ht="15" hidden="false" customHeight="false" outlineLevel="0" collapsed="false">
      <c r="A29" s="16" t="s">
        <v>165</v>
      </c>
      <c r="B29" s="16" t="s">
        <v>166</v>
      </c>
      <c r="C29" s="17" t="n">
        <v>4100</v>
      </c>
      <c r="D29" s="16" t="s">
        <v>87</v>
      </c>
      <c r="E29" s="16" t="s">
        <v>97</v>
      </c>
      <c r="F29" s="16" t="s">
        <v>167</v>
      </c>
      <c r="G29" s="16" t="s">
        <v>168</v>
      </c>
      <c r="H29" s="16" t="s">
        <v>41</v>
      </c>
    </row>
    <row r="30" customFormat="false" ht="23.85" hidden="false" customHeight="false" outlineLevel="0" collapsed="false">
      <c r="A30" s="16" t="s">
        <v>169</v>
      </c>
      <c r="B30" s="16" t="s">
        <v>170</v>
      </c>
      <c r="C30" s="17" t="n">
        <v>850</v>
      </c>
      <c r="D30" s="16" t="s">
        <v>87</v>
      </c>
      <c r="E30" s="16" t="s">
        <v>88</v>
      </c>
      <c r="F30" s="16" t="s">
        <v>145</v>
      </c>
      <c r="G30" s="16" t="s">
        <v>171</v>
      </c>
      <c r="H30" s="16" t="s">
        <v>41</v>
      </c>
    </row>
    <row r="31" customFormat="false" ht="23.85" hidden="false" customHeight="false" outlineLevel="0" collapsed="false">
      <c r="A31" s="16" t="s">
        <v>172</v>
      </c>
      <c r="B31" s="16" t="s">
        <v>173</v>
      </c>
      <c r="C31" s="17" t="n">
        <v>1267</v>
      </c>
      <c r="D31" s="16" t="s">
        <v>87</v>
      </c>
      <c r="E31" s="16" t="s">
        <v>88</v>
      </c>
      <c r="F31" s="16" t="s">
        <v>89</v>
      </c>
      <c r="G31" s="16" t="s">
        <v>174</v>
      </c>
      <c r="H31" s="16" t="s">
        <v>41</v>
      </c>
    </row>
    <row r="32" customFormat="false" ht="23.85" hidden="false" customHeight="false" outlineLevel="0" collapsed="false">
      <c r="A32" s="16" t="s">
        <v>175</v>
      </c>
      <c r="B32" s="16" t="s">
        <v>176</v>
      </c>
      <c r="C32" s="17" t="n">
        <f aca="false">$C$33-$C$34</f>
        <v>84</v>
      </c>
      <c r="D32" s="16" t="s">
        <v>87</v>
      </c>
      <c r="E32" s="16" t="s">
        <v>97</v>
      </c>
      <c r="F32" s="16" t="s">
        <v>158</v>
      </c>
      <c r="G32" s="16" t="s">
        <v>177</v>
      </c>
      <c r="H32" s="16" t="s">
        <v>117</v>
      </c>
    </row>
    <row r="33" customFormat="false" ht="15" hidden="false" customHeight="false" outlineLevel="0" collapsed="false">
      <c r="A33" s="16" t="s">
        <v>178</v>
      </c>
      <c r="B33" s="16" t="s">
        <v>179</v>
      </c>
      <c r="C33" s="17" t="n">
        <v>402</v>
      </c>
      <c r="D33" s="16" t="s">
        <v>87</v>
      </c>
      <c r="E33" s="16" t="s">
        <v>97</v>
      </c>
      <c r="F33" s="16" t="s">
        <v>158</v>
      </c>
      <c r="G33" s="16"/>
      <c r="H33" s="16" t="s">
        <v>41</v>
      </c>
    </row>
    <row r="34" customFormat="false" ht="15" hidden="false" customHeight="false" outlineLevel="0" collapsed="false">
      <c r="A34" s="16" t="s">
        <v>180</v>
      </c>
      <c r="B34" s="16" t="s">
        <v>181</v>
      </c>
      <c r="C34" s="17" t="n">
        <v>318</v>
      </c>
      <c r="D34" s="16" t="s">
        <v>87</v>
      </c>
      <c r="E34" s="16" t="s">
        <v>97</v>
      </c>
      <c r="F34" s="16" t="s">
        <v>158</v>
      </c>
      <c r="G34" s="16"/>
      <c r="H34" s="16" t="s">
        <v>41</v>
      </c>
    </row>
    <row r="35" customFormat="false" ht="15" hidden="false" customHeight="false" outlineLevel="0" collapsed="false">
      <c r="A35" s="10" t="s">
        <v>182</v>
      </c>
      <c r="B35" s="11"/>
      <c r="C35" s="11"/>
      <c r="D35" s="11"/>
      <c r="E35" s="11"/>
      <c r="F35" s="11"/>
      <c r="G35" s="11"/>
      <c r="H35" s="11"/>
    </row>
    <row r="36" customFormat="false" ht="23.85" hidden="false" customHeight="false" outlineLevel="0" collapsed="false">
      <c r="A36" s="16" t="s">
        <v>183</v>
      </c>
      <c r="B36" s="16" t="s">
        <v>184</v>
      </c>
      <c r="C36" s="17" t="n">
        <v>2000</v>
      </c>
      <c r="D36" s="16" t="s">
        <v>87</v>
      </c>
      <c r="E36" s="16" t="s">
        <v>88</v>
      </c>
      <c r="F36" s="16" t="s">
        <v>149</v>
      </c>
      <c r="G36" s="16" t="s">
        <v>185</v>
      </c>
      <c r="H36" s="16" t="s">
        <v>117</v>
      </c>
    </row>
    <row r="37" customFormat="false" ht="15" hidden="false" customHeight="false" outlineLevel="0" collapsed="false">
      <c r="A37" s="16" t="s">
        <v>186</v>
      </c>
      <c r="B37" s="16" t="s">
        <v>187</v>
      </c>
      <c r="C37" s="20" t="n">
        <v>0.75</v>
      </c>
      <c r="D37" s="16" t="s">
        <v>135</v>
      </c>
      <c r="E37" s="16" t="s">
        <v>140</v>
      </c>
      <c r="F37" s="16"/>
      <c r="G37" s="16" t="s">
        <v>188</v>
      </c>
      <c r="H37" s="16" t="s">
        <v>40</v>
      </c>
    </row>
    <row r="38" customFormat="false" ht="15" hidden="false" customHeight="false" outlineLevel="0" collapsed="false">
      <c r="A38" s="16" t="s">
        <v>189</v>
      </c>
      <c r="B38" s="16" t="s">
        <v>190</v>
      </c>
      <c r="C38" s="20" t="n">
        <v>0.2</v>
      </c>
      <c r="D38" s="16" t="s">
        <v>135</v>
      </c>
      <c r="E38" s="16" t="s">
        <v>140</v>
      </c>
      <c r="F38" s="16"/>
      <c r="G38" s="16" t="s">
        <v>191</v>
      </c>
      <c r="H38" s="16" t="s">
        <v>40</v>
      </c>
    </row>
    <row r="39" customFormat="false" ht="15" hidden="false" customHeight="false" outlineLevel="0" collapsed="false">
      <c r="A39" s="16" t="s">
        <v>192</v>
      </c>
      <c r="B39" s="16" t="s">
        <v>193</v>
      </c>
      <c r="C39" s="21" t="n">
        <v>10</v>
      </c>
      <c r="D39" s="16" t="s">
        <v>194</v>
      </c>
      <c r="E39" s="16" t="s">
        <v>140</v>
      </c>
      <c r="F39" s="16"/>
      <c r="G39" s="16" t="s">
        <v>195</v>
      </c>
      <c r="H39" s="16" t="s">
        <v>40</v>
      </c>
    </row>
    <row r="40" customFormat="false" ht="15" hidden="false" customHeight="false" outlineLevel="0" collapsed="false">
      <c r="A40" s="10" t="s">
        <v>196</v>
      </c>
      <c r="B40" s="11"/>
      <c r="C40" s="11"/>
      <c r="D40" s="11"/>
      <c r="E40" s="11"/>
      <c r="F40" s="11"/>
      <c r="G40" s="11"/>
      <c r="H40" s="11"/>
    </row>
    <row r="41" customFormat="false" ht="23.85" hidden="false" customHeight="false" outlineLevel="0" collapsed="false">
      <c r="A41" s="16" t="s">
        <v>197</v>
      </c>
      <c r="B41" s="16" t="s">
        <v>198</v>
      </c>
      <c r="C41" s="22" t="n">
        <v>0.055</v>
      </c>
      <c r="D41" s="16" t="s">
        <v>135</v>
      </c>
      <c r="E41" s="16" t="s">
        <v>88</v>
      </c>
      <c r="F41" s="16" t="s">
        <v>149</v>
      </c>
      <c r="G41" s="16" t="s">
        <v>199</v>
      </c>
      <c r="H41" s="16" t="s">
        <v>117</v>
      </c>
    </row>
    <row r="42" customFormat="false" ht="23.85" hidden="false" customHeight="false" outlineLevel="0" collapsed="false">
      <c r="A42" s="16" t="s">
        <v>200</v>
      </c>
      <c r="B42" s="16" t="s">
        <v>201</v>
      </c>
      <c r="C42" s="20" t="n">
        <v>-0.009</v>
      </c>
      <c r="D42" s="16" t="s">
        <v>135</v>
      </c>
      <c r="E42" s="16" t="s">
        <v>88</v>
      </c>
      <c r="F42" s="16" t="s">
        <v>202</v>
      </c>
      <c r="G42" s="16" t="s">
        <v>203</v>
      </c>
      <c r="H42" s="16" t="s">
        <v>40</v>
      </c>
    </row>
    <row r="43" customFormat="false" ht="15" hidden="false" customHeight="false" outlineLevel="0" collapsed="false">
      <c r="A43" s="16" t="s">
        <v>204</v>
      </c>
      <c r="B43" s="16" t="s">
        <v>205</v>
      </c>
      <c r="C43" s="20" t="n">
        <v>0.05</v>
      </c>
      <c r="D43" s="16" t="s">
        <v>135</v>
      </c>
      <c r="E43" s="16" t="s">
        <v>206</v>
      </c>
      <c r="F43" s="16" t="s">
        <v>207</v>
      </c>
      <c r="G43" s="16" t="s">
        <v>208</v>
      </c>
      <c r="H43" s="16" t="s">
        <v>117</v>
      </c>
    </row>
    <row r="44" customFormat="false" ht="15" hidden="false" customHeight="false" outlineLevel="0" collapsed="false">
      <c r="A44" s="16" t="s">
        <v>209</v>
      </c>
      <c r="B44" s="16" t="s">
        <v>210</v>
      </c>
      <c r="C44" s="17" t="n">
        <v>3040</v>
      </c>
      <c r="D44" s="16" t="s">
        <v>211</v>
      </c>
      <c r="E44" s="16" t="s">
        <v>206</v>
      </c>
      <c r="F44" s="16" t="s">
        <v>212</v>
      </c>
      <c r="G44" s="16" t="s">
        <v>213</v>
      </c>
      <c r="H44" s="16" t="s">
        <v>117</v>
      </c>
    </row>
    <row r="45" customFormat="false" ht="15" hidden="false" customHeight="false" outlineLevel="0" collapsed="false">
      <c r="A45" s="16" t="s">
        <v>214</v>
      </c>
      <c r="B45" s="16" t="s">
        <v>215</v>
      </c>
      <c r="C45" s="23" t="n">
        <v>9.8</v>
      </c>
      <c r="D45" s="16" t="s">
        <v>194</v>
      </c>
      <c r="E45" s="16" t="s">
        <v>206</v>
      </c>
      <c r="F45" s="16" t="s">
        <v>212</v>
      </c>
      <c r="G45" s="16"/>
      <c r="H45" s="16" t="s">
        <v>117</v>
      </c>
    </row>
    <row r="46" customFormat="false" ht="15" hidden="false" customHeight="false" outlineLevel="0" collapsed="false">
      <c r="A46" s="16" t="s">
        <v>216</v>
      </c>
      <c r="B46" s="16" t="s">
        <v>217</v>
      </c>
      <c r="C46" s="17" t="n">
        <v>120</v>
      </c>
      <c r="D46" s="16" t="s">
        <v>211</v>
      </c>
      <c r="E46" s="16" t="s">
        <v>206</v>
      </c>
      <c r="F46" s="16" t="s">
        <v>212</v>
      </c>
      <c r="G46" s="16"/>
      <c r="H46" s="16" t="s">
        <v>117</v>
      </c>
    </row>
    <row r="47" customFormat="false" ht="15" hidden="false" customHeight="false" outlineLevel="0" collapsed="false">
      <c r="A47" s="16" t="s">
        <v>218</v>
      </c>
      <c r="B47" s="16" t="s">
        <v>219</v>
      </c>
      <c r="C47" s="20" t="n">
        <v>0.25</v>
      </c>
      <c r="D47" s="16" t="s">
        <v>135</v>
      </c>
      <c r="E47" s="16" t="s">
        <v>140</v>
      </c>
      <c r="F47" s="16"/>
      <c r="G47" s="16" t="s">
        <v>220</v>
      </c>
      <c r="H47" s="16" t="s">
        <v>40</v>
      </c>
    </row>
    <row r="48" customFormat="false" ht="23.85" hidden="false" customHeight="false" outlineLevel="0" collapsed="false">
      <c r="A48" s="16" t="s">
        <v>221</v>
      </c>
      <c r="B48" s="16" t="s">
        <v>222</v>
      </c>
      <c r="C48" s="24" t="n">
        <f aca="false">2989/2542</f>
        <v>1.17584579071597</v>
      </c>
      <c r="D48" s="16" t="s">
        <v>223</v>
      </c>
      <c r="E48" s="16" t="s">
        <v>88</v>
      </c>
      <c r="F48" s="16" t="s">
        <v>145</v>
      </c>
      <c r="G48" s="16" t="s">
        <v>224</v>
      </c>
      <c r="H48" s="16" t="s">
        <v>41</v>
      </c>
    </row>
    <row r="49" customFormat="false" ht="23.85" hidden="false" customHeight="false" outlineLevel="0" collapsed="false">
      <c r="A49" s="16" t="s">
        <v>225</v>
      </c>
      <c r="B49" s="16" t="s">
        <v>226</v>
      </c>
      <c r="C49" s="24" t="n">
        <v>7</v>
      </c>
      <c r="D49" s="16" t="s">
        <v>227</v>
      </c>
      <c r="E49" s="16" t="s">
        <v>88</v>
      </c>
      <c r="F49" s="16" t="s">
        <v>145</v>
      </c>
      <c r="G49" s="16" t="s">
        <v>228</v>
      </c>
      <c r="H49" s="16" t="s">
        <v>41</v>
      </c>
    </row>
    <row r="50" customFormat="false" ht="15" hidden="false" customHeight="false" outlineLevel="0" collapsed="false">
      <c r="A50" s="16" t="s">
        <v>229</v>
      </c>
      <c r="B50" s="16" t="s">
        <v>230</v>
      </c>
      <c r="C50" s="19" t="n">
        <v>0</v>
      </c>
      <c r="D50" s="16" t="s">
        <v>87</v>
      </c>
      <c r="E50" s="16" t="s">
        <v>206</v>
      </c>
      <c r="F50" s="16" t="s">
        <v>207</v>
      </c>
      <c r="G50" s="16" t="s">
        <v>231</v>
      </c>
      <c r="H50" s="16" t="s">
        <v>232</v>
      </c>
    </row>
    <row r="51" customFormat="false" ht="15" hidden="false" customHeight="false" outlineLevel="0" collapsed="false">
      <c r="A51" s="10" t="s">
        <v>233</v>
      </c>
      <c r="B51" s="11"/>
      <c r="C51" s="11"/>
      <c r="D51" s="11"/>
      <c r="E51" s="11"/>
      <c r="F51" s="11"/>
      <c r="G51" s="11"/>
      <c r="H51" s="11"/>
    </row>
    <row r="52" customFormat="false" ht="23.85" hidden="false" customHeight="false" outlineLevel="0" collapsed="false">
      <c r="A52" s="16" t="s">
        <v>234</v>
      </c>
      <c r="B52" s="16" t="s">
        <v>235</v>
      </c>
      <c r="C52" s="23" t="n">
        <v>3</v>
      </c>
      <c r="D52" s="16" t="s">
        <v>194</v>
      </c>
      <c r="E52" s="16" t="s">
        <v>236</v>
      </c>
      <c r="F52" s="16" t="s">
        <v>237</v>
      </c>
      <c r="G52" s="16" t="s">
        <v>238</v>
      </c>
      <c r="H52" s="16" t="s">
        <v>41</v>
      </c>
    </row>
    <row r="53" customFormat="false" ht="23.85" hidden="false" customHeight="false" outlineLevel="0" collapsed="false">
      <c r="A53" s="16" t="s">
        <v>239</v>
      </c>
      <c r="B53" s="16" t="s">
        <v>240</v>
      </c>
      <c r="C53" s="23" t="n">
        <v>3</v>
      </c>
      <c r="D53" s="16" t="s">
        <v>194</v>
      </c>
      <c r="E53" s="16" t="s">
        <v>88</v>
      </c>
      <c r="F53" s="16" t="s">
        <v>149</v>
      </c>
      <c r="G53" s="16" t="s">
        <v>241</v>
      </c>
      <c r="H53" s="16" t="s">
        <v>41</v>
      </c>
    </row>
    <row r="54" customFormat="false" ht="15" hidden="false" customHeight="false" outlineLevel="0" collapsed="false">
      <c r="A54" s="16" t="s">
        <v>242</v>
      </c>
      <c r="B54" s="16" t="s">
        <v>243</v>
      </c>
      <c r="C54" s="21" t="n">
        <v>10</v>
      </c>
      <c r="D54" s="16" t="s">
        <v>194</v>
      </c>
      <c r="E54" s="16" t="s">
        <v>206</v>
      </c>
      <c r="F54" s="16" t="s">
        <v>212</v>
      </c>
      <c r="G54" s="16" t="s">
        <v>244</v>
      </c>
      <c r="H54" s="16" t="s">
        <v>117</v>
      </c>
    </row>
    <row r="55" customFormat="false" ht="23.85" hidden="false" customHeight="false" outlineLevel="0" collapsed="false">
      <c r="A55" s="16" t="s">
        <v>245</v>
      </c>
      <c r="B55" s="16" t="s">
        <v>246</v>
      </c>
      <c r="C55" s="20" t="n">
        <v>0</v>
      </c>
      <c r="D55" s="16" t="s">
        <v>135</v>
      </c>
      <c r="E55" s="16" t="s">
        <v>140</v>
      </c>
      <c r="F55" s="16"/>
      <c r="G55" s="16" t="s">
        <v>247</v>
      </c>
      <c r="H55" s="16" t="s">
        <v>40</v>
      </c>
    </row>
    <row r="56" customFormat="false" ht="15" hidden="false" customHeight="false" outlineLevel="0" collapsed="false">
      <c r="A56" s="16" t="s">
        <v>248</v>
      </c>
      <c r="B56" s="16" t="s">
        <v>249</v>
      </c>
      <c r="C56" s="19" t="n">
        <v>0</v>
      </c>
      <c r="D56" s="16" t="s">
        <v>87</v>
      </c>
      <c r="E56" s="16" t="s">
        <v>140</v>
      </c>
      <c r="F56" s="16"/>
      <c r="G56" s="16" t="s">
        <v>250</v>
      </c>
      <c r="H56" s="16" t="s">
        <v>40</v>
      </c>
    </row>
    <row r="57" customFormat="false" ht="15" hidden="false" customHeight="false" outlineLevel="0" collapsed="false">
      <c r="A57" s="16" t="s">
        <v>251</v>
      </c>
      <c r="B57" s="16" t="s">
        <v>252</v>
      </c>
      <c r="C57" s="19" t="n">
        <v>0</v>
      </c>
      <c r="D57" s="16" t="s">
        <v>87</v>
      </c>
      <c r="E57" s="16" t="s">
        <v>140</v>
      </c>
      <c r="F57" s="16"/>
      <c r="G57" s="16" t="s">
        <v>253</v>
      </c>
      <c r="H57" s="16" t="s">
        <v>40</v>
      </c>
    </row>
    <row r="58" customFormat="false" ht="15" hidden="false" customHeight="false" outlineLevel="0" collapsed="false">
      <c r="A58" s="10" t="s">
        <v>254</v>
      </c>
      <c r="B58" s="11"/>
      <c r="C58" s="11"/>
      <c r="D58" s="11"/>
      <c r="E58" s="11"/>
      <c r="F58" s="11"/>
      <c r="G58" s="11"/>
      <c r="H58" s="11"/>
    </row>
    <row r="59" customFormat="false" ht="23.85" hidden="false" customHeight="false" outlineLevel="0" collapsed="false">
      <c r="A59" s="16" t="s">
        <v>255</v>
      </c>
      <c r="B59" s="16" t="s">
        <v>256</v>
      </c>
      <c r="C59" s="17" t="n">
        <v>9332</v>
      </c>
      <c r="D59" s="16" t="s">
        <v>87</v>
      </c>
      <c r="E59" s="16" t="s">
        <v>88</v>
      </c>
      <c r="F59" s="16" t="s">
        <v>145</v>
      </c>
      <c r="G59" s="16" t="s">
        <v>257</v>
      </c>
      <c r="H59" s="16" t="s">
        <v>41</v>
      </c>
    </row>
    <row r="60" customFormat="false" ht="23.85" hidden="false" customHeight="false" outlineLevel="0" collapsed="false">
      <c r="A60" s="16" t="s">
        <v>258</v>
      </c>
      <c r="B60" s="16" t="s">
        <v>259</v>
      </c>
      <c r="C60" s="17" t="n">
        <f aca="false">4500+1373</f>
        <v>5873</v>
      </c>
      <c r="D60" s="16" t="s">
        <v>87</v>
      </c>
      <c r="E60" s="16" t="s">
        <v>88</v>
      </c>
      <c r="F60" s="16" t="s">
        <v>145</v>
      </c>
      <c r="G60" s="16" t="s">
        <v>260</v>
      </c>
      <c r="H60" s="16" t="s">
        <v>41</v>
      </c>
    </row>
    <row r="61" customFormat="false" ht="23.85" hidden="false" customHeight="false" outlineLevel="0" collapsed="false">
      <c r="A61" s="16" t="s">
        <v>261</v>
      </c>
      <c r="B61" s="16" t="s">
        <v>262</v>
      </c>
      <c r="C61" s="17" t="n">
        <v>11374</v>
      </c>
      <c r="D61" s="16" t="s">
        <v>87</v>
      </c>
      <c r="E61" s="16" t="s">
        <v>88</v>
      </c>
      <c r="F61" s="16" t="s">
        <v>263</v>
      </c>
      <c r="G61" s="16" t="s">
        <v>264</v>
      </c>
      <c r="H61" s="16" t="s">
        <v>41</v>
      </c>
    </row>
    <row r="62" customFormat="false" ht="15" hidden="false" customHeight="false" outlineLevel="0" collapsed="false">
      <c r="A62" s="16" t="s">
        <v>265</v>
      </c>
      <c r="B62" s="16" t="s">
        <v>266</v>
      </c>
      <c r="C62" s="17" t="n">
        <v>3891</v>
      </c>
      <c r="D62" s="16" t="s">
        <v>87</v>
      </c>
      <c r="E62" s="16" t="s">
        <v>97</v>
      </c>
      <c r="F62" s="16" t="s">
        <v>98</v>
      </c>
      <c r="G62" s="16" t="s">
        <v>267</v>
      </c>
      <c r="H62" s="16" t="s">
        <v>117</v>
      </c>
    </row>
    <row r="63" customFormat="false" ht="23.85" hidden="false" customHeight="false" outlineLevel="0" collapsed="false">
      <c r="A63" s="16" t="s">
        <v>268</v>
      </c>
      <c r="B63" s="16" t="s">
        <v>269</v>
      </c>
      <c r="C63" s="20" t="n">
        <v>0.5</v>
      </c>
      <c r="D63" s="16" t="s">
        <v>135</v>
      </c>
      <c r="E63" s="16" t="s">
        <v>140</v>
      </c>
      <c r="F63" s="16"/>
      <c r="G63" s="16" t="s">
        <v>270</v>
      </c>
      <c r="H63" s="16" t="s">
        <v>40</v>
      </c>
    </row>
    <row r="64" customFormat="false" ht="23.85" hidden="false" customHeight="false" outlineLevel="0" collapsed="false">
      <c r="A64" s="16" t="s">
        <v>271</v>
      </c>
      <c r="B64" s="16" t="s">
        <v>272</v>
      </c>
      <c r="C64" s="19" t="n">
        <v>2000</v>
      </c>
      <c r="D64" s="16" t="s">
        <v>87</v>
      </c>
      <c r="E64" s="16" t="s">
        <v>140</v>
      </c>
      <c r="F64" s="16"/>
      <c r="G64" s="16" t="s">
        <v>273</v>
      </c>
      <c r="H64" s="16" t="s">
        <v>40</v>
      </c>
    </row>
    <row r="65" customFormat="false" ht="23.85" hidden="false" customHeight="false" outlineLevel="0" collapsed="false">
      <c r="A65" s="16" t="s">
        <v>274</v>
      </c>
      <c r="B65" s="16" t="s">
        <v>275</v>
      </c>
      <c r="C65" s="17" t="n">
        <v>0</v>
      </c>
      <c r="D65" s="16" t="s">
        <v>87</v>
      </c>
      <c r="E65" s="16" t="s">
        <v>97</v>
      </c>
      <c r="F65" s="16" t="s">
        <v>276</v>
      </c>
      <c r="G65" s="16" t="s">
        <v>277</v>
      </c>
      <c r="H65" s="16" t="s">
        <v>117</v>
      </c>
    </row>
    <row r="66" customFormat="false" ht="15" hidden="false" customHeight="false" outlineLevel="0" collapsed="false">
      <c r="A66" s="10" t="s">
        <v>278</v>
      </c>
      <c r="B66" s="11"/>
      <c r="C66" s="11"/>
      <c r="D66" s="11"/>
      <c r="E66" s="11"/>
      <c r="F66" s="11"/>
      <c r="G66" s="11"/>
      <c r="H66" s="11"/>
    </row>
    <row r="67" customFormat="false" ht="23.85" hidden="false" customHeight="false" outlineLevel="0" collapsed="false">
      <c r="A67" s="16" t="s">
        <v>279</v>
      </c>
      <c r="B67" s="16" t="s">
        <v>280</v>
      </c>
      <c r="C67" s="20" t="n">
        <v>0.195</v>
      </c>
      <c r="D67" s="16" t="s">
        <v>135</v>
      </c>
      <c r="E67" s="16" t="s">
        <v>281</v>
      </c>
      <c r="F67" s="16"/>
      <c r="G67" s="16" t="s">
        <v>282</v>
      </c>
      <c r="H67" s="16" t="s">
        <v>40</v>
      </c>
    </row>
    <row r="68" customFormat="false" ht="23.85" hidden="false" customHeight="false" outlineLevel="0" collapsed="false">
      <c r="A68" s="16" t="s">
        <v>283</v>
      </c>
      <c r="B68" s="16" t="s">
        <v>284</v>
      </c>
      <c r="C68" s="20" t="n">
        <v>0.18</v>
      </c>
      <c r="D68" s="16" t="s">
        <v>135</v>
      </c>
      <c r="E68" s="16" t="s">
        <v>281</v>
      </c>
      <c r="F68" s="16"/>
      <c r="G68" s="16" t="s">
        <v>285</v>
      </c>
      <c r="H68" s="16" t="s">
        <v>40</v>
      </c>
    </row>
    <row r="70" customFormat="false" ht="15" hidden="false" customHeight="false" outlineLevel="0" collapsed="false">
      <c r="A70" s="1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35.05" hidden="false" customHeight="false" outlineLevel="0" collapsed="false">
      <c r="A1" s="4" t="s">
        <v>287</v>
      </c>
      <c r="B1" s="4" t="s">
        <v>288</v>
      </c>
      <c r="C1" s="4" t="s">
        <v>289</v>
      </c>
      <c r="D1" s="4" t="s">
        <v>290</v>
      </c>
      <c r="E1" s="4" t="s">
        <v>291</v>
      </c>
      <c r="F1" s="4" t="s">
        <v>292</v>
      </c>
      <c r="G1" s="4" t="s">
        <v>81</v>
      </c>
      <c r="H1" s="4" t="s">
        <v>293</v>
      </c>
    </row>
    <row r="2" customFormat="false" ht="15" hidden="false" customHeight="false" outlineLevel="0" collapsed="false">
      <c r="A2" s="10" t="s">
        <v>294</v>
      </c>
      <c r="B2" s="11"/>
      <c r="C2" s="11"/>
      <c r="D2" s="11"/>
      <c r="E2" s="11"/>
      <c r="F2" s="11"/>
      <c r="G2" s="11"/>
      <c r="H2" s="11"/>
    </row>
    <row r="3" customFormat="false" ht="15" hidden="false" customHeight="false" outlineLevel="0" collapsed="false">
      <c r="A3" s="2" t="s">
        <v>295</v>
      </c>
      <c r="B3" s="2" t="s">
        <v>296</v>
      </c>
      <c r="C3" s="25" t="n">
        <v>315</v>
      </c>
      <c r="D3" s="14"/>
      <c r="E3" s="2" t="s">
        <v>297</v>
      </c>
      <c r="F3" s="2" t="s">
        <v>108</v>
      </c>
      <c r="G3" s="2" t="s">
        <v>149</v>
      </c>
      <c r="H3" s="2" t="s">
        <v>298</v>
      </c>
    </row>
    <row r="4" customFormat="false" ht="15" hidden="false" customHeight="false" outlineLevel="0" collapsed="false">
      <c r="A4" s="2" t="s">
        <v>299</v>
      </c>
      <c r="B4" s="2" t="s">
        <v>300</v>
      </c>
      <c r="C4" s="25" t="n">
        <v>271</v>
      </c>
      <c r="D4" s="14"/>
      <c r="E4" s="2" t="s">
        <v>301</v>
      </c>
      <c r="F4" s="2" t="s">
        <v>97</v>
      </c>
      <c r="G4" s="2" t="s">
        <v>302</v>
      </c>
      <c r="H4" s="2" t="s">
        <v>303</v>
      </c>
    </row>
    <row r="5" customFormat="false" ht="15" hidden="false" customHeight="false" outlineLevel="0" collapsed="false">
      <c r="A5" s="2" t="s">
        <v>299</v>
      </c>
      <c r="B5" s="2" t="s">
        <v>304</v>
      </c>
      <c r="C5" s="25" t="n">
        <v>1500</v>
      </c>
      <c r="D5" s="14"/>
      <c r="E5" s="2" t="s">
        <v>305</v>
      </c>
      <c r="F5" s="2" t="s">
        <v>97</v>
      </c>
      <c r="G5" s="2" t="s">
        <v>302</v>
      </c>
      <c r="H5" s="2" t="s">
        <v>303</v>
      </c>
    </row>
    <row r="6" customFormat="false" ht="15" hidden="false" customHeight="false" outlineLevel="0" collapsed="false">
      <c r="A6" s="2" t="s">
        <v>299</v>
      </c>
      <c r="B6" s="2" t="s">
        <v>306</v>
      </c>
      <c r="C6" s="25" t="n">
        <v>247</v>
      </c>
      <c r="D6" s="14"/>
      <c r="E6" s="2" t="s">
        <v>301</v>
      </c>
      <c r="F6" s="2" t="s">
        <v>97</v>
      </c>
      <c r="G6" s="2" t="s">
        <v>302</v>
      </c>
      <c r="H6" s="2" t="s">
        <v>303</v>
      </c>
    </row>
    <row r="7" customFormat="false" ht="15" hidden="false" customHeight="false" outlineLevel="0" collapsed="false">
      <c r="A7" s="2" t="s">
        <v>299</v>
      </c>
      <c r="B7" s="2" t="s">
        <v>307</v>
      </c>
      <c r="C7" s="25" t="n">
        <v>85</v>
      </c>
      <c r="D7" s="14"/>
      <c r="E7" s="2" t="s">
        <v>301</v>
      </c>
      <c r="F7" s="2" t="s">
        <v>97</v>
      </c>
      <c r="G7" s="2" t="s">
        <v>302</v>
      </c>
      <c r="H7" s="2" t="s">
        <v>303</v>
      </c>
    </row>
    <row r="8" customFormat="false" ht="15" hidden="false" customHeight="false" outlineLevel="0" collapsed="false">
      <c r="A8" s="2" t="s">
        <v>308</v>
      </c>
      <c r="B8" s="2" t="s">
        <v>309</v>
      </c>
      <c r="C8" s="25" t="n">
        <v>137</v>
      </c>
      <c r="D8" s="14"/>
      <c r="E8" s="2" t="s">
        <v>301</v>
      </c>
      <c r="F8" s="2" t="s">
        <v>88</v>
      </c>
      <c r="G8" s="2" t="s">
        <v>310</v>
      </c>
      <c r="H8" s="2" t="s">
        <v>303</v>
      </c>
    </row>
    <row r="9" customFormat="false" ht="15" hidden="false" customHeight="false" outlineLevel="0" collapsed="false">
      <c r="A9" s="2" t="s">
        <v>308</v>
      </c>
      <c r="B9" s="2" t="s">
        <v>311</v>
      </c>
      <c r="C9" s="25" t="n">
        <v>2778</v>
      </c>
      <c r="D9" s="14"/>
      <c r="E9" s="2" t="s">
        <v>301</v>
      </c>
      <c r="F9" s="2" t="s">
        <v>88</v>
      </c>
      <c r="G9" s="2" t="s">
        <v>310</v>
      </c>
      <c r="H9" s="2" t="s">
        <v>303</v>
      </c>
    </row>
    <row r="10" customFormat="false" ht="15" hidden="false" customHeight="false" outlineLevel="0" collapsed="false">
      <c r="A10" s="10" t="s">
        <v>312</v>
      </c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2" t="s">
        <v>295</v>
      </c>
      <c r="B11" s="2" t="s">
        <v>313</v>
      </c>
      <c r="C11" s="25" t="n">
        <f aca="false">482+32</f>
        <v>514</v>
      </c>
      <c r="D11" s="25" t="n">
        <f aca="false">949+1</f>
        <v>950</v>
      </c>
      <c r="E11" s="2" t="s">
        <v>314</v>
      </c>
      <c r="F11" s="2" t="s">
        <v>97</v>
      </c>
      <c r="G11" s="2" t="s">
        <v>315</v>
      </c>
      <c r="H11" s="2"/>
    </row>
    <row r="12" customFormat="false" ht="15" hidden="false" customHeight="false" outlineLevel="0" collapsed="false">
      <c r="A12" s="2" t="s">
        <v>299</v>
      </c>
      <c r="B12" s="2" t="s">
        <v>313</v>
      </c>
      <c r="C12" s="25" t="n">
        <f aca="false">702+1563</f>
        <v>2265</v>
      </c>
      <c r="D12" s="25" t="n">
        <f aca="false">59+37</f>
        <v>96</v>
      </c>
      <c r="E12" s="2" t="s">
        <v>314</v>
      </c>
      <c r="F12" s="2" t="s">
        <v>97</v>
      </c>
      <c r="G12" s="2" t="s">
        <v>315</v>
      </c>
      <c r="H12" s="2"/>
    </row>
    <row r="13" customFormat="false" ht="15" hidden="false" customHeight="false" outlineLevel="0" collapsed="false">
      <c r="A13" s="2" t="s">
        <v>308</v>
      </c>
      <c r="B13" s="2" t="s">
        <v>316</v>
      </c>
      <c r="C13" s="25" t="n">
        <v>2942</v>
      </c>
      <c r="D13" s="25" t="n">
        <v>73</v>
      </c>
      <c r="E13" s="2" t="s">
        <v>317</v>
      </c>
      <c r="F13" s="2" t="s">
        <v>88</v>
      </c>
      <c r="G13" s="2" t="s">
        <v>310</v>
      </c>
      <c r="H13" s="2"/>
    </row>
    <row r="14" customFormat="false" ht="15" hidden="false" customHeight="false" outlineLevel="0" collapsed="false">
      <c r="A14" s="2" t="s">
        <v>318</v>
      </c>
      <c r="B14" s="2" t="s">
        <v>319</v>
      </c>
      <c r="C14" s="14"/>
      <c r="D14" s="14"/>
      <c r="E14" s="2" t="s">
        <v>320</v>
      </c>
      <c r="F14" s="2" t="s">
        <v>108</v>
      </c>
      <c r="G14" s="2" t="s">
        <v>149</v>
      </c>
      <c r="H14" s="2"/>
    </row>
    <row r="16" customFormat="false" ht="15" hidden="false" customHeight="false" outlineLevel="0" collapsed="false">
      <c r="B16" s="3" t="s">
        <v>321</v>
      </c>
      <c r="C16" s="26" t="n">
        <f aca="false">4000</f>
        <v>4000</v>
      </c>
      <c r="E16" s="13" t="s">
        <v>322</v>
      </c>
    </row>
    <row r="17" customFormat="false" ht="15" hidden="false" customHeight="false" outlineLevel="0" collapsed="false">
      <c r="B17" s="3" t="s">
        <v>323</v>
      </c>
      <c r="C17" s="14" t="n">
        <f aca="false">SUM(C3:C9)</f>
        <v>5333</v>
      </c>
      <c r="E17" s="13"/>
    </row>
    <row r="18" customFormat="false" ht="15" hidden="false" customHeight="false" outlineLevel="0" collapsed="false">
      <c r="B18" s="3" t="s">
        <v>324</v>
      </c>
      <c r="C18" s="14" t="n">
        <f aca="false">SUMIF(H3:H9,"Yes",C3:C9)</f>
        <v>5018</v>
      </c>
      <c r="E18" s="13" t="s">
        <v>325</v>
      </c>
    </row>
    <row r="19" customFormat="false" ht="15" hidden="false" customHeight="false" outlineLevel="0" collapsed="false">
      <c r="B19" s="3" t="s">
        <v>326</v>
      </c>
      <c r="C19" s="14" t="n">
        <f aca="false">SUM(C11:C13)</f>
        <v>5721</v>
      </c>
      <c r="E19" s="13" t="s">
        <v>327</v>
      </c>
    </row>
    <row r="20" customFormat="false" ht="15" hidden="false" customHeight="false" outlineLevel="0" collapsed="false">
      <c r="B20" s="3" t="s">
        <v>328</v>
      </c>
      <c r="C20" s="14" t="n">
        <f aca="false">SUM(D11:D13)</f>
        <v>1119</v>
      </c>
      <c r="E20" s="13" t="s">
        <v>329</v>
      </c>
    </row>
    <row r="21" customFormat="false" ht="15" hidden="false" customHeight="false" outlineLevel="0" collapsed="false">
      <c r="B21" s="3" t="s">
        <v>330</v>
      </c>
      <c r="C21" s="14" t="n">
        <f aca="false">C19-C20</f>
        <v>4602</v>
      </c>
      <c r="E21" s="13"/>
    </row>
    <row r="22" customFormat="false" ht="15" hidden="false" customHeight="false" outlineLevel="0" collapsed="false">
      <c r="B22" s="3" t="s">
        <v>331</v>
      </c>
      <c r="C22" s="14" t="n">
        <f aca="false">C16-C19</f>
        <v>-1721</v>
      </c>
      <c r="E22" s="13" t="s">
        <v>332</v>
      </c>
    </row>
    <row r="23" customFormat="false" ht="15" hidden="false" customHeight="false" outlineLevel="0" collapsed="false">
      <c r="B23" s="3" t="s">
        <v>333</v>
      </c>
      <c r="C23" s="14" t="n">
        <f aca="false">C16-C21</f>
        <v>-602</v>
      </c>
      <c r="E2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  <c r="F1" s="4" t="s">
        <v>339</v>
      </c>
    </row>
    <row r="2" customFormat="false" ht="15" hidden="false" customHeight="false" outlineLevel="0" collapsed="false">
      <c r="A2" s="2" t="s">
        <v>340</v>
      </c>
      <c r="B2" s="5" t="n">
        <f aca="false">Inputs!$C$6</f>
        <v>17819</v>
      </c>
      <c r="C2" s="5" t="n">
        <f aca="false">Inputs!$C$7</f>
        <v>20764</v>
      </c>
      <c r="D2" s="5" t="n">
        <f aca="false">Inputs!$C$4</f>
        <v>19657</v>
      </c>
      <c r="E2" s="5" t="n">
        <f aca="false">Inputs!$C$3</f>
        <v>24548</v>
      </c>
      <c r="F2" s="13" t="s">
        <v>341</v>
      </c>
    </row>
    <row r="3" customFormat="false" ht="15" hidden="false" customHeight="false" outlineLevel="0" collapsed="false">
      <c r="A3" s="2" t="s">
        <v>342</v>
      </c>
      <c r="B3" s="5" t="n">
        <f aca="false">Inputs!$C$9</f>
        <v>6788</v>
      </c>
      <c r="C3" s="5" t="n">
        <f aca="false">Inputs!$C$9-Inputs!$C$11+Inputs!$C$12</f>
        <v>6889</v>
      </c>
      <c r="D3" s="5" t="n">
        <f aca="false">Inputs!$C$10</f>
        <v>7050</v>
      </c>
      <c r="E3" s="5" t="n">
        <f aca="false">Inputs!$C$10-Inputs!$C$12+Inputs!$C$13</f>
        <v>7235</v>
      </c>
      <c r="F3" s="13" t="s">
        <v>343</v>
      </c>
    </row>
    <row r="4" customFormat="false" ht="15" hidden="false" customHeight="false" outlineLevel="0" collapsed="false">
      <c r="A4" s="2" t="s">
        <v>344</v>
      </c>
      <c r="B4" s="12" t="n">
        <f aca="false">B2/B3</f>
        <v>2.62507365939894</v>
      </c>
      <c r="C4" s="12" t="n">
        <f aca="false">C2/C3</f>
        <v>3.01408041805777</v>
      </c>
      <c r="D4" s="12" t="n">
        <f aca="false">D2/D3</f>
        <v>2.78822695035461</v>
      </c>
      <c r="E4" s="12" t="n">
        <f aca="false">E2/E3</f>
        <v>3.39295093296475</v>
      </c>
      <c r="F4" s="13" t="s">
        <v>345</v>
      </c>
    </row>
    <row r="7" customFormat="false" ht="15" hidden="false" customHeight="false" outlineLevel="0" collapsed="false">
      <c r="A7" s="3" t="s">
        <v>346</v>
      </c>
    </row>
    <row r="8" customFormat="false" ht="15" hidden="false" customHeight="false" outlineLevel="0" collapsed="false">
      <c r="A8" s="4" t="s">
        <v>347</v>
      </c>
      <c r="B8" s="4" t="s">
        <v>348</v>
      </c>
      <c r="C8" s="4" t="s">
        <v>349</v>
      </c>
      <c r="D8" s="4" t="s">
        <v>350</v>
      </c>
      <c r="E8" s="4" t="s">
        <v>351</v>
      </c>
      <c r="F8" s="4" t="s">
        <v>292</v>
      </c>
    </row>
    <row r="9" customFormat="false" ht="15" hidden="false" customHeight="false" outlineLevel="0" collapsed="false">
      <c r="A9" s="2" t="s">
        <v>352</v>
      </c>
      <c r="B9" s="25" t="n">
        <v>1924</v>
      </c>
      <c r="C9" s="25" t="n">
        <v>3043</v>
      </c>
      <c r="D9" s="25" t="n">
        <v>2447</v>
      </c>
      <c r="E9" s="25" t="n">
        <v>1781</v>
      </c>
      <c r="F9" s="13" t="s">
        <v>353</v>
      </c>
    </row>
    <row r="10" customFormat="false" ht="15" hidden="false" customHeight="false" outlineLevel="0" collapsed="false">
      <c r="A10" s="2" t="s">
        <v>354</v>
      </c>
      <c r="B10" s="25" t="n">
        <v>7219</v>
      </c>
      <c r="C10" s="25" t="n">
        <v>465</v>
      </c>
      <c r="D10" s="25" t="n">
        <v>728</v>
      </c>
      <c r="E10" s="25" t="n">
        <v>302</v>
      </c>
      <c r="F10" s="13" t="s">
        <v>353</v>
      </c>
    </row>
    <row r="11" customFormat="false" ht="15" hidden="false" customHeight="false" outlineLevel="0" collapsed="false">
      <c r="A11" s="2" t="s">
        <v>355</v>
      </c>
      <c r="B11" s="25" t="n">
        <v>499</v>
      </c>
      <c r="C11" s="25" t="n">
        <v>384</v>
      </c>
      <c r="D11" s="25" t="n">
        <v>317</v>
      </c>
      <c r="E11" s="25" t="n">
        <v>198</v>
      </c>
      <c r="F11" s="13" t="s">
        <v>353</v>
      </c>
    </row>
    <row r="12" customFormat="false" ht="15" hidden="false" customHeight="false" outlineLevel="0" collapsed="false">
      <c r="A12" s="3" t="s">
        <v>356</v>
      </c>
      <c r="B12" s="9" t="n">
        <f aca="false">SUM(B9:B11)</f>
        <v>9642</v>
      </c>
      <c r="C12" s="9" t="n">
        <f aca="false">SUM(C9:C11)</f>
        <v>3892</v>
      </c>
      <c r="D12" s="9" t="n">
        <f aca="false">SUM(D9:D11)</f>
        <v>3492</v>
      </c>
      <c r="E12" s="9" t="n">
        <f aca="false">SUM(E9:E11)</f>
        <v>2281</v>
      </c>
    </row>
    <row r="14" customFormat="false" ht="15" hidden="false" customHeight="false" outlineLevel="0" collapsed="false">
      <c r="A14" s="3" t="s">
        <v>357</v>
      </c>
    </row>
    <row r="15" customFormat="false" ht="15" hidden="false" customHeight="false" outlineLevel="0" collapsed="false">
      <c r="A15" s="2" t="s">
        <v>358</v>
      </c>
      <c r="B15" s="25" t="n">
        <v>15205</v>
      </c>
      <c r="F15" s="13" t="s">
        <v>359</v>
      </c>
    </row>
    <row r="16" customFormat="false" ht="15" hidden="false" customHeight="false" outlineLevel="0" collapsed="false">
      <c r="A16" s="2" t="s">
        <v>360</v>
      </c>
      <c r="B16" s="25" t="n">
        <v>11374</v>
      </c>
      <c r="F16" s="13" t="s">
        <v>359</v>
      </c>
    </row>
    <row r="17" customFormat="false" ht="15" hidden="false" customHeight="false" outlineLevel="0" collapsed="false">
      <c r="A17" s="2" t="s">
        <v>361</v>
      </c>
      <c r="B17" s="14" t="n">
        <f aca="false">B15-B16</f>
        <v>3831</v>
      </c>
      <c r="F17" s="13" t="s">
        <v>362</v>
      </c>
    </row>
    <row r="18" customFormat="false" ht="15" hidden="false" customHeight="false" outlineLevel="0" collapsed="false">
      <c r="A18" s="2" t="s">
        <v>363</v>
      </c>
      <c r="B18" s="14" t="n">
        <f aca="false">2500+1000+400</f>
        <v>3900</v>
      </c>
      <c r="F18" s="13" t="s">
        <v>364</v>
      </c>
    </row>
    <row r="19" customFormat="false" ht="15" hidden="false" customHeight="false" outlineLevel="0" collapsed="false">
      <c r="A19" s="2" t="s">
        <v>365</v>
      </c>
      <c r="B19" s="14" t="s">
        <v>366</v>
      </c>
      <c r="F19" s="13" t="s">
        <v>367</v>
      </c>
    </row>
    <row r="20" customFormat="false" ht="15" hidden="false" customHeight="false" outlineLevel="0" collapsed="false">
      <c r="A20" s="2" t="s">
        <v>368</v>
      </c>
      <c r="B20" s="14" t="s">
        <v>369</v>
      </c>
      <c r="F20" s="13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7" min="2" style="0" width="15"/>
  </cols>
  <sheetData>
    <row r="1" customFormat="false" ht="15" hidden="false" customHeight="false" outlineLevel="0" collapsed="false">
      <c r="A1" s="1" t="s">
        <v>371</v>
      </c>
    </row>
    <row r="2" customFormat="false" ht="64.9" hidden="false" customHeight="false" outlineLevel="0" collapsed="false">
      <c r="A2" s="3" t="s">
        <v>372</v>
      </c>
      <c r="B2" s="27" t="s">
        <v>21</v>
      </c>
      <c r="C2" s="27" t="s">
        <v>22</v>
      </c>
      <c r="D2" s="27" t="s">
        <v>23</v>
      </c>
      <c r="E2" s="27" t="s">
        <v>24</v>
      </c>
      <c r="F2" s="27" t="s">
        <v>373</v>
      </c>
      <c r="G2" s="27" t="s">
        <v>374</v>
      </c>
      <c r="H2" s="27" t="s">
        <v>375</v>
      </c>
      <c r="I2" s="27" t="s">
        <v>376</v>
      </c>
      <c r="J2" s="27" t="s">
        <v>377</v>
      </c>
      <c r="K2" s="27" t="s">
        <v>378</v>
      </c>
      <c r="L2" s="27" t="s">
        <v>379</v>
      </c>
      <c r="M2" s="27" t="s">
        <v>380</v>
      </c>
      <c r="N2" s="27" t="s">
        <v>381</v>
      </c>
      <c r="O2" s="27" t="s">
        <v>382</v>
      </c>
      <c r="P2" s="27" t="s">
        <v>383</v>
      </c>
      <c r="Q2" s="27" t="s">
        <v>384</v>
      </c>
      <c r="R2" s="27" t="s">
        <v>385</v>
      </c>
      <c r="S2" s="27" t="s">
        <v>386</v>
      </c>
      <c r="T2" s="27" t="s">
        <v>387</v>
      </c>
      <c r="U2" s="27" t="s">
        <v>388</v>
      </c>
      <c r="V2" s="27" t="s">
        <v>389</v>
      </c>
      <c r="W2" s="27" t="s">
        <v>390</v>
      </c>
      <c r="X2" s="27" t="s">
        <v>391</v>
      </c>
      <c r="Y2" s="27" t="s">
        <v>392</v>
      </c>
      <c r="Z2" s="27" t="s">
        <v>393</v>
      </c>
      <c r="AA2" s="27" t="s">
        <v>394</v>
      </c>
    </row>
    <row r="3" customFormat="false" ht="28.35" hidden="false" customHeight="false" outlineLevel="0" collapsed="false">
      <c r="A3" s="3" t="s">
        <v>395</v>
      </c>
      <c r="B3" s="28" t="s">
        <v>396</v>
      </c>
      <c r="C3" s="28" t="s">
        <v>397</v>
      </c>
      <c r="D3" s="28" t="s">
        <v>398</v>
      </c>
      <c r="E3" s="28" t="s">
        <v>399</v>
      </c>
      <c r="F3" s="28" t="s">
        <v>400</v>
      </c>
      <c r="G3" s="28" t="s">
        <v>400</v>
      </c>
      <c r="H3" s="28" t="s">
        <v>400</v>
      </c>
      <c r="I3" s="28" t="s">
        <v>400</v>
      </c>
      <c r="J3" s="28" t="s">
        <v>400</v>
      </c>
      <c r="K3" s="28" t="s">
        <v>400</v>
      </c>
      <c r="L3" s="28" t="s">
        <v>400</v>
      </c>
      <c r="M3" s="28" t="s">
        <v>400</v>
      </c>
      <c r="N3" s="28" t="s">
        <v>400</v>
      </c>
      <c r="O3" s="28" t="s">
        <v>400</v>
      </c>
      <c r="P3" s="28" t="s">
        <v>400</v>
      </c>
      <c r="Q3" s="28" t="s">
        <v>400</v>
      </c>
      <c r="R3" s="28" t="s">
        <v>400</v>
      </c>
      <c r="S3" s="28" t="s">
        <v>400</v>
      </c>
      <c r="T3" s="28" t="s">
        <v>400</v>
      </c>
      <c r="U3" s="28" t="s">
        <v>400</v>
      </c>
      <c r="V3" s="28" t="s">
        <v>400</v>
      </c>
      <c r="W3" s="28" t="s">
        <v>400</v>
      </c>
      <c r="X3" s="28" t="s">
        <v>400</v>
      </c>
      <c r="Y3" s="28" t="s">
        <v>400</v>
      </c>
      <c r="Z3" s="28" t="s">
        <v>400</v>
      </c>
      <c r="AA3" s="28" t="s">
        <v>400</v>
      </c>
    </row>
    <row r="4" customFormat="false" ht="15" hidden="false" customHeight="false" outlineLevel="0" collapsed="false">
      <c r="A4" s="3" t="s">
        <v>401</v>
      </c>
    </row>
    <row r="5" customFormat="false" ht="15" hidden="false" customHeight="false" outlineLevel="0" collapsed="false">
      <c r="A5" s="2" t="s">
        <v>86</v>
      </c>
      <c r="B5" s="5" t="n">
        <f aca="false">Inputs!$C$3</f>
        <v>24548</v>
      </c>
      <c r="C5" s="5" t="n">
        <f aca="false">Inputs!$C$3</f>
        <v>24548</v>
      </c>
      <c r="D5" s="5" t="n">
        <f aca="false">Inputs!$C$3</f>
        <v>24548</v>
      </c>
      <c r="E5" s="5" t="n">
        <f aca="false">Inputs!$C$3</f>
        <v>24548</v>
      </c>
      <c r="F5" s="5" t="n">
        <f aca="false">Inputs!$C$3</f>
        <v>24548</v>
      </c>
      <c r="G5" s="5" t="n">
        <f aca="false">Inputs!$C$3</f>
        <v>24548</v>
      </c>
      <c r="H5" s="5" t="n">
        <f aca="false">Inputs!$C$3</f>
        <v>24548</v>
      </c>
      <c r="I5" s="5" t="n">
        <f aca="false">Inputs!$C$3</f>
        <v>24548</v>
      </c>
      <c r="J5" s="5" t="n">
        <f aca="false">Inputs!$C$3</f>
        <v>24548</v>
      </c>
      <c r="K5" s="5" t="n">
        <f aca="false">Inputs!$C$3</f>
        <v>24548</v>
      </c>
      <c r="L5" s="5" t="n">
        <f aca="false">Inputs!$C$3</f>
        <v>24548</v>
      </c>
      <c r="M5" s="5" t="n">
        <f aca="false">Inputs!$C$3</f>
        <v>24548</v>
      </c>
      <c r="N5" s="5" t="n">
        <f aca="false">Inputs!$C$3</f>
        <v>24548</v>
      </c>
      <c r="O5" s="5" t="n">
        <f aca="false">Inputs!$C$3</f>
        <v>24548</v>
      </c>
      <c r="P5" s="5" t="n">
        <f aca="false">Inputs!$C$3</f>
        <v>24548</v>
      </c>
      <c r="Q5" s="5" t="n">
        <f aca="false">Inputs!$C$3</f>
        <v>24548</v>
      </c>
      <c r="R5" s="5" t="n">
        <f aca="false">Inputs!$C$3</f>
        <v>24548</v>
      </c>
      <c r="S5" s="5" t="n">
        <f aca="false">Inputs!$C$3</f>
        <v>24548</v>
      </c>
      <c r="T5" s="5" t="n">
        <f aca="false">Inputs!$C$3</f>
        <v>24548</v>
      </c>
      <c r="U5" s="5" t="n">
        <f aca="false">Inputs!$C$3</f>
        <v>24548</v>
      </c>
      <c r="V5" s="5" t="n">
        <f aca="false">Inputs!$C$3</f>
        <v>24548</v>
      </c>
      <c r="W5" s="5" t="n">
        <f aca="false">Inputs!$C$3</f>
        <v>24548</v>
      </c>
      <c r="X5" s="5" t="n">
        <f aca="false">Inputs!$C$3</f>
        <v>24548</v>
      </c>
      <c r="Y5" s="5" t="n">
        <f aca="false">Inputs!$C$3</f>
        <v>24548</v>
      </c>
      <c r="Z5" s="5" t="n">
        <f aca="false">Inputs!$C$3</f>
        <v>24548</v>
      </c>
      <c r="AA5" s="5" t="n">
        <f aca="false">Inputs!$C$3</f>
        <v>24548</v>
      </c>
    </row>
    <row r="6" customFormat="false" ht="15" hidden="false" customHeight="false" outlineLevel="0" collapsed="false">
      <c r="A6" s="2" t="s">
        <v>128</v>
      </c>
      <c r="B6" s="5" t="n">
        <f aca="false">Inputs!$C$17</f>
        <v>1178</v>
      </c>
      <c r="C6" s="5" t="n">
        <f aca="false">Inputs!$C$17</f>
        <v>1178</v>
      </c>
      <c r="D6" s="5" t="n">
        <f aca="false">Inputs!$C$17</f>
        <v>1178</v>
      </c>
      <c r="E6" s="5" t="n">
        <f aca="false">Inputs!$C$17</f>
        <v>1178</v>
      </c>
      <c r="F6" s="5" t="n">
        <f aca="false">Inputs!$C$17</f>
        <v>1178</v>
      </c>
      <c r="G6" s="5" t="n">
        <f aca="false">Inputs!$C$17</f>
        <v>1178</v>
      </c>
      <c r="H6" s="5" t="n">
        <f aca="false">Inputs!$C$17</f>
        <v>1178</v>
      </c>
      <c r="I6" s="5" t="n">
        <f aca="false">Inputs!$C$17</f>
        <v>1178</v>
      </c>
      <c r="J6" s="5" t="n">
        <f aca="false">Inputs!$C$17</f>
        <v>1178</v>
      </c>
      <c r="K6" s="5" t="n">
        <f aca="false">Inputs!$C$17</f>
        <v>1178</v>
      </c>
      <c r="L6" s="5" t="n">
        <f aca="false">Inputs!$C$17</f>
        <v>1178</v>
      </c>
      <c r="M6" s="5" t="n">
        <f aca="false">Inputs!$C$17</f>
        <v>1178</v>
      </c>
      <c r="N6" s="5" t="n">
        <f aca="false">Inputs!$C$17</f>
        <v>1178</v>
      </c>
      <c r="O6" s="5" t="n">
        <f aca="false">Inputs!$C$17</f>
        <v>1178</v>
      </c>
      <c r="P6" s="5" t="n">
        <f aca="false">Inputs!$C$17</f>
        <v>1178</v>
      </c>
      <c r="Q6" s="5" t="n">
        <f aca="false">Inputs!$C$17</f>
        <v>1178</v>
      </c>
      <c r="R6" s="5" t="n">
        <f aca="false">Inputs!$C$17</f>
        <v>1178</v>
      </c>
      <c r="S6" s="5" t="n">
        <f aca="false">Inputs!$C$17</f>
        <v>1178</v>
      </c>
      <c r="T6" s="5" t="n">
        <f aca="false">Inputs!$C$17</f>
        <v>1178</v>
      </c>
      <c r="U6" s="5" t="n">
        <f aca="false">Inputs!$C$17</f>
        <v>1178</v>
      </c>
      <c r="V6" s="5" t="n">
        <f aca="false">Inputs!$C$17</f>
        <v>1178</v>
      </c>
      <c r="W6" s="5" t="n">
        <f aca="false">Inputs!$C$17</f>
        <v>1178</v>
      </c>
      <c r="X6" s="5" t="n">
        <f aca="false">Inputs!$C$17</f>
        <v>1178</v>
      </c>
      <c r="Y6" s="5" t="n">
        <f aca="false">Inputs!$C$17</f>
        <v>1178</v>
      </c>
      <c r="Z6" s="5" t="n">
        <f aca="false">Inputs!$C$17</f>
        <v>1178</v>
      </c>
      <c r="AA6" s="5" t="n">
        <f aca="false">Inputs!$C$17</f>
        <v>1178</v>
      </c>
    </row>
    <row r="7" customFormat="false" ht="15" hidden="false" customHeight="false" outlineLevel="0" collapsed="false">
      <c r="A7" s="2" t="s">
        <v>134</v>
      </c>
      <c r="B7" s="29" t="n">
        <f aca="false">Inputs!$C$20</f>
        <v>0.0151951400363655</v>
      </c>
      <c r="C7" s="29" t="n">
        <f aca="false">Inputs!$C$20</f>
        <v>0.0151951400363655</v>
      </c>
      <c r="D7" s="30" t="n">
        <v>0</v>
      </c>
      <c r="E7" s="29" t="n">
        <f aca="false">Inputs!$C$20</f>
        <v>0.0151951400363655</v>
      </c>
      <c r="F7" s="29" t="n">
        <f aca="false">Inputs!$C$20</f>
        <v>0.0151951400363655</v>
      </c>
      <c r="G7" s="29" t="n">
        <f aca="false">Inputs!$C$20</f>
        <v>0.0151951400363655</v>
      </c>
      <c r="H7" s="29" t="n">
        <f aca="false">Inputs!$C$20</f>
        <v>0.0151951400363655</v>
      </c>
      <c r="I7" s="29" t="n">
        <f aca="false">Inputs!$C$20</f>
        <v>0.0151951400363655</v>
      </c>
      <c r="J7" s="30" t="n">
        <v>-0.03</v>
      </c>
      <c r="K7" s="30" t="n">
        <v>0.05</v>
      </c>
      <c r="L7" s="29" t="n">
        <f aca="false">Inputs!$C$20</f>
        <v>0.0151951400363655</v>
      </c>
      <c r="M7" s="29" t="n">
        <f aca="false">Inputs!$C$20</f>
        <v>0.0151951400363655</v>
      </c>
      <c r="N7" s="29" t="n">
        <f aca="false">Inputs!$C$20</f>
        <v>0.0151951400363655</v>
      </c>
      <c r="O7" s="29" t="n">
        <f aca="false">Inputs!$C$20</f>
        <v>0.0151951400363655</v>
      </c>
      <c r="P7" s="29" t="n">
        <f aca="false">Inputs!$C$20</f>
        <v>0.0151951400363655</v>
      </c>
      <c r="Q7" s="29" t="n">
        <f aca="false">Inputs!$C$20</f>
        <v>0.0151951400363655</v>
      </c>
      <c r="R7" s="29" t="n">
        <f aca="false">Inputs!$C$20</f>
        <v>0.0151951400363655</v>
      </c>
      <c r="S7" s="29" t="n">
        <f aca="false">Inputs!$C$20</f>
        <v>0.0151951400363655</v>
      </c>
      <c r="T7" s="29" t="n">
        <f aca="false">Inputs!$C$20</f>
        <v>0.0151951400363655</v>
      </c>
      <c r="U7" s="29" t="n">
        <f aca="false">Inputs!$C$20</f>
        <v>0.0151951400363655</v>
      </c>
      <c r="V7" s="29" t="n">
        <f aca="false">Inputs!$C$20</f>
        <v>0.0151951400363655</v>
      </c>
      <c r="W7" s="29" t="n">
        <f aca="false">Inputs!$C$20</f>
        <v>0.0151951400363655</v>
      </c>
      <c r="X7" s="29" t="n">
        <f aca="false">Inputs!$C$20</f>
        <v>0.0151951400363655</v>
      </c>
      <c r="Y7" s="29" t="n">
        <f aca="false">Inputs!$C$20</f>
        <v>0.0151951400363655</v>
      </c>
      <c r="Z7" s="29" t="n">
        <f aca="false">Inputs!$C$20</f>
        <v>0.0151951400363655</v>
      </c>
      <c r="AA7" s="29" t="n">
        <f aca="false">Inputs!$C$20</f>
        <v>0.0151951400363655</v>
      </c>
    </row>
    <row r="8" customFormat="false" ht="15" hidden="false" customHeight="false" outlineLevel="0" collapsed="false">
      <c r="A8" s="2" t="s">
        <v>132</v>
      </c>
      <c r="B8" s="5" t="n">
        <f aca="false">Inputs!$C$19</f>
        <v>-288</v>
      </c>
      <c r="C8" s="5" t="n">
        <f aca="false">Inputs!$C$19</f>
        <v>-288</v>
      </c>
      <c r="D8" s="5" t="n">
        <f aca="false">Inputs!$C$19</f>
        <v>-288</v>
      </c>
      <c r="E8" s="5" t="n">
        <f aca="false">Inputs!$C$19</f>
        <v>-288</v>
      </c>
      <c r="F8" s="5" t="n">
        <f aca="false">Inputs!$C$19</f>
        <v>-288</v>
      </c>
      <c r="G8" s="5" t="n">
        <f aca="false">Inputs!$C$19</f>
        <v>-288</v>
      </c>
      <c r="H8" s="5" t="n">
        <f aca="false">Inputs!$C$19</f>
        <v>-288</v>
      </c>
      <c r="I8" s="5" t="n">
        <f aca="false">Inputs!$C$19</f>
        <v>-288</v>
      </c>
      <c r="J8" s="5" t="n">
        <f aca="false">Inputs!$C$19</f>
        <v>-288</v>
      </c>
      <c r="K8" s="5" t="n">
        <f aca="false">Inputs!$C$19</f>
        <v>-288</v>
      </c>
      <c r="L8" s="5" t="n">
        <f aca="false">Inputs!$C$19</f>
        <v>-288</v>
      </c>
      <c r="M8" s="5" t="n">
        <f aca="false">Inputs!$C$19</f>
        <v>-288</v>
      </c>
      <c r="N8" s="5" t="n">
        <f aca="false">Inputs!$C$19</f>
        <v>-288</v>
      </c>
      <c r="O8" s="5" t="n">
        <f aca="false">Inputs!$C$19</f>
        <v>-288</v>
      </c>
      <c r="P8" s="5" t="n">
        <f aca="false">Inputs!$C$19</f>
        <v>-288</v>
      </c>
      <c r="Q8" s="5" t="n">
        <f aca="false">Inputs!$C$19</f>
        <v>-288</v>
      </c>
      <c r="R8" s="5" t="n">
        <f aca="false">Inputs!$C$19</f>
        <v>-288</v>
      </c>
      <c r="S8" s="5" t="n">
        <f aca="false">Inputs!$C$19</f>
        <v>-288</v>
      </c>
      <c r="T8" s="5" t="n">
        <f aca="false">Inputs!$C$19</f>
        <v>-288</v>
      </c>
      <c r="U8" s="5" t="n">
        <f aca="false">Inputs!$C$19</f>
        <v>-288</v>
      </c>
      <c r="V8" s="5" t="n">
        <f aca="false">Inputs!$C$19</f>
        <v>-288</v>
      </c>
      <c r="W8" s="5" t="n">
        <f aca="false">Inputs!$C$19</f>
        <v>-288</v>
      </c>
      <c r="X8" s="5" t="n">
        <f aca="false">Inputs!$C$19</f>
        <v>-288</v>
      </c>
      <c r="Y8" s="5" t="n">
        <f aca="false">Inputs!$C$19</f>
        <v>-288</v>
      </c>
      <c r="Z8" s="5" t="n">
        <f aca="false">Inputs!$C$19</f>
        <v>-288</v>
      </c>
      <c r="AA8" s="5" t="n">
        <f aca="false">Inputs!$C$19</f>
        <v>-288</v>
      </c>
    </row>
    <row r="9" customFormat="false" ht="15" hidden="false" customHeight="false" outlineLevel="0" collapsed="false">
      <c r="A9" s="2" t="s">
        <v>139</v>
      </c>
      <c r="B9" s="5" t="n">
        <f aca="false">Inputs!$C$21</f>
        <v>0</v>
      </c>
      <c r="C9" s="5" t="n">
        <f aca="false">Inputs!$C$21</f>
        <v>0</v>
      </c>
      <c r="D9" s="5" t="n">
        <f aca="false">Inputs!$C$21</f>
        <v>0</v>
      </c>
      <c r="E9" s="5" t="n">
        <f aca="false">Inputs!$C$21</f>
        <v>0</v>
      </c>
      <c r="F9" s="5" t="n">
        <f aca="false">Inputs!$C$21</f>
        <v>0</v>
      </c>
      <c r="G9" s="5" t="n">
        <f aca="false">Inputs!$C$21</f>
        <v>0</v>
      </c>
      <c r="H9" s="5" t="n">
        <f aca="false">Inputs!$C$21</f>
        <v>0</v>
      </c>
      <c r="I9" s="5" t="n">
        <f aca="false">Inputs!$C$21</f>
        <v>0</v>
      </c>
      <c r="J9" s="5" t="n">
        <f aca="false">Inputs!$C$21</f>
        <v>0</v>
      </c>
      <c r="K9" s="5" t="n">
        <f aca="false">Inputs!$C$21</f>
        <v>0</v>
      </c>
      <c r="L9" s="5" t="n">
        <f aca="false">Inputs!$C$21</f>
        <v>0</v>
      </c>
      <c r="M9" s="5" t="n">
        <f aca="false">Inputs!$C$21</f>
        <v>0</v>
      </c>
      <c r="N9" s="5" t="n">
        <f aca="false">Inputs!$C$21</f>
        <v>0</v>
      </c>
      <c r="O9" s="5" t="n">
        <f aca="false">Inputs!$C$21</f>
        <v>0</v>
      </c>
      <c r="P9" s="5" t="n">
        <f aca="false">Inputs!$C$21</f>
        <v>0</v>
      </c>
      <c r="Q9" s="5" t="n">
        <f aca="false">Inputs!$C$21</f>
        <v>0</v>
      </c>
      <c r="R9" s="5" t="n">
        <f aca="false">Inputs!$C$21</f>
        <v>0</v>
      </c>
      <c r="S9" s="5" t="n">
        <f aca="false">Inputs!$C$21</f>
        <v>0</v>
      </c>
      <c r="T9" s="5" t="n">
        <f aca="false">Inputs!$C$21</f>
        <v>0</v>
      </c>
      <c r="U9" s="5" t="n">
        <f aca="false">Inputs!$C$21</f>
        <v>0</v>
      </c>
      <c r="V9" s="5" t="n">
        <f aca="false">Inputs!$C$21</f>
        <v>0</v>
      </c>
      <c r="W9" s="5" t="n">
        <f aca="false">Inputs!$C$21</f>
        <v>0</v>
      </c>
      <c r="X9" s="5" t="n">
        <f aca="false">Inputs!$C$21</f>
        <v>0</v>
      </c>
      <c r="Y9" s="5" t="n">
        <f aca="false">Inputs!$C$21</f>
        <v>0</v>
      </c>
      <c r="Z9" s="5" t="n">
        <f aca="false">Inputs!$C$21</f>
        <v>0</v>
      </c>
      <c r="AA9" s="5" t="n">
        <f aca="false">Inputs!$C$21</f>
        <v>0</v>
      </c>
    </row>
    <row r="10" customFormat="false" ht="15" hidden="false" customHeight="false" outlineLevel="0" collapsed="false">
      <c r="A10" s="2" t="s">
        <v>144</v>
      </c>
      <c r="B10" s="5" t="n">
        <f aca="false">Inputs!$C$23</f>
        <v>1099</v>
      </c>
      <c r="C10" s="5" t="n">
        <f aca="false">Inputs!$C$23</f>
        <v>1099</v>
      </c>
      <c r="D10" s="5" t="n">
        <f aca="false">Inputs!$C$23</f>
        <v>1099</v>
      </c>
      <c r="E10" s="5" t="n">
        <f aca="false">Inputs!$C$23</f>
        <v>1099</v>
      </c>
      <c r="F10" s="5" t="n">
        <f aca="false">Inputs!$C$23</f>
        <v>1099</v>
      </c>
      <c r="G10" s="5" t="n">
        <f aca="false">Inputs!$C$23</f>
        <v>1099</v>
      </c>
      <c r="H10" s="5" t="n">
        <f aca="false">Inputs!$C$23</f>
        <v>1099</v>
      </c>
      <c r="I10" s="5" t="n">
        <f aca="false">Inputs!$C$23</f>
        <v>1099</v>
      </c>
      <c r="J10" s="5" t="n">
        <f aca="false">Inputs!$C$23</f>
        <v>1099</v>
      </c>
      <c r="K10" s="5" t="n">
        <f aca="false">Inputs!$C$23</f>
        <v>1099</v>
      </c>
      <c r="L10" s="5" t="n">
        <f aca="false">Inputs!$C$23</f>
        <v>1099</v>
      </c>
      <c r="M10" s="5" t="n">
        <f aca="false">Inputs!$C$23</f>
        <v>1099</v>
      </c>
      <c r="N10" s="5" t="n">
        <f aca="false">Inputs!$C$23</f>
        <v>1099</v>
      </c>
      <c r="O10" s="5" t="n">
        <f aca="false">Inputs!$C$23</f>
        <v>1099</v>
      </c>
      <c r="P10" s="5" t="n">
        <f aca="false">Inputs!$C$23</f>
        <v>1099</v>
      </c>
      <c r="Q10" s="5" t="n">
        <f aca="false">Inputs!$C$23</f>
        <v>1099</v>
      </c>
      <c r="R10" s="5" t="n">
        <f aca="false">Inputs!$C$23</f>
        <v>1099</v>
      </c>
      <c r="S10" s="5" t="n">
        <f aca="false">Inputs!$C$23</f>
        <v>1099</v>
      </c>
      <c r="T10" s="5" t="n">
        <f aca="false">Inputs!$C$23</f>
        <v>1099</v>
      </c>
      <c r="U10" s="5" t="n">
        <f aca="false">Inputs!$C$23</f>
        <v>1099</v>
      </c>
      <c r="V10" s="5" t="n">
        <f aca="false">Inputs!$C$23</f>
        <v>1099</v>
      </c>
      <c r="W10" s="5" t="n">
        <f aca="false">Inputs!$C$23</f>
        <v>1099</v>
      </c>
      <c r="X10" s="5" t="n">
        <f aca="false">Inputs!$C$23</f>
        <v>1099</v>
      </c>
      <c r="Y10" s="5" t="n">
        <f aca="false">Inputs!$C$23</f>
        <v>1099</v>
      </c>
      <c r="Z10" s="5" t="n">
        <f aca="false">Inputs!$C$23</f>
        <v>1099</v>
      </c>
      <c r="AA10" s="5" t="n">
        <f aca="false">Inputs!$C$23</f>
        <v>1099</v>
      </c>
    </row>
    <row r="11" customFormat="false" ht="15" hidden="false" customHeight="false" outlineLevel="0" collapsed="false">
      <c r="A11" s="2" t="s">
        <v>148</v>
      </c>
      <c r="B11" s="29" t="n">
        <f aca="false">Inputs!$C$24</f>
        <v>0.08</v>
      </c>
      <c r="C11" s="29" t="n">
        <f aca="false">Inputs!$C$24</f>
        <v>0.08</v>
      </c>
      <c r="D11" s="29" t="n">
        <f aca="false">Inputs!$C$24</f>
        <v>0.08</v>
      </c>
      <c r="E11" s="29" t="n">
        <f aca="false">Inputs!$C$24</f>
        <v>0.08</v>
      </c>
      <c r="F11" s="29" t="n">
        <f aca="false">Inputs!$C$24</f>
        <v>0.08</v>
      </c>
      <c r="G11" s="29" t="n">
        <f aca="false">Inputs!$C$24</f>
        <v>0.08</v>
      </c>
      <c r="H11" s="29" t="n">
        <f aca="false">Inputs!$C$24</f>
        <v>0.08</v>
      </c>
      <c r="I11" s="29" t="n">
        <f aca="false">Inputs!$C$24</f>
        <v>0.08</v>
      </c>
      <c r="J11" s="29" t="n">
        <f aca="false">Inputs!$C$24</f>
        <v>0.08</v>
      </c>
      <c r="K11" s="29" t="n">
        <f aca="false">Inputs!$C$24</f>
        <v>0.08</v>
      </c>
      <c r="L11" s="29" t="n">
        <f aca="false">Inputs!$C$24</f>
        <v>0.08</v>
      </c>
      <c r="M11" s="29" t="n">
        <f aca="false">Inputs!$C$24</f>
        <v>0.08</v>
      </c>
      <c r="N11" s="29" t="n">
        <f aca="false">Inputs!$C$24</f>
        <v>0.08</v>
      </c>
      <c r="O11" s="29" t="n">
        <f aca="false">Inputs!$C$24</f>
        <v>0.08</v>
      </c>
      <c r="P11" s="30" t="n">
        <v>0.04</v>
      </c>
      <c r="Q11" s="30" t="n">
        <v>0.1</v>
      </c>
      <c r="R11" s="29" t="n">
        <f aca="false">Inputs!$C$24</f>
        <v>0.08</v>
      </c>
      <c r="S11" s="29" t="n">
        <f aca="false">Inputs!$C$24</f>
        <v>0.08</v>
      </c>
      <c r="T11" s="29" t="n">
        <f aca="false">Inputs!$C$24</f>
        <v>0.08</v>
      </c>
      <c r="U11" s="29" t="n">
        <f aca="false">Inputs!$C$24</f>
        <v>0.08</v>
      </c>
      <c r="V11" s="29" t="n">
        <f aca="false">Inputs!$C$24</f>
        <v>0.08</v>
      </c>
      <c r="W11" s="29" t="n">
        <f aca="false">Inputs!$C$24</f>
        <v>0.08</v>
      </c>
      <c r="X11" s="29" t="n">
        <f aca="false">Inputs!$C$24</f>
        <v>0.08</v>
      </c>
      <c r="Y11" s="29" t="n">
        <f aca="false">Inputs!$C$24</f>
        <v>0.08</v>
      </c>
      <c r="Z11" s="29" t="n">
        <f aca="false">Inputs!$C$24</f>
        <v>0.08</v>
      </c>
      <c r="AA11" s="29" t="n">
        <f aca="false">Inputs!$C$24</f>
        <v>0.08</v>
      </c>
    </row>
    <row r="12" customFormat="false" ht="15" hidden="false" customHeight="false" outlineLevel="0" collapsed="false">
      <c r="A12" s="2" t="s">
        <v>152</v>
      </c>
      <c r="B12" s="5" t="n">
        <f aca="false">Inputs!$C$25</f>
        <v>257</v>
      </c>
      <c r="C12" s="5" t="n">
        <f aca="false">Inputs!$C$25</f>
        <v>257</v>
      </c>
      <c r="D12" s="5" t="n">
        <f aca="false">Inputs!$C$25</f>
        <v>257</v>
      </c>
      <c r="E12" s="5" t="n">
        <f aca="false">Inputs!$C$25</f>
        <v>257</v>
      </c>
      <c r="F12" s="5" t="n">
        <f aca="false">Inputs!$C$25</f>
        <v>257</v>
      </c>
      <c r="G12" s="5" t="n">
        <f aca="false">Inputs!$C$25</f>
        <v>257</v>
      </c>
      <c r="H12" s="5" t="n">
        <f aca="false">Inputs!$C$25</f>
        <v>257</v>
      </c>
      <c r="I12" s="5" t="n">
        <f aca="false">Inputs!$C$25</f>
        <v>257</v>
      </c>
      <c r="J12" s="5" t="n">
        <f aca="false">Inputs!$C$25</f>
        <v>257</v>
      </c>
      <c r="K12" s="5" t="n">
        <f aca="false">Inputs!$C$25</f>
        <v>257</v>
      </c>
      <c r="L12" s="5" t="n">
        <f aca="false">Inputs!$C$25</f>
        <v>257</v>
      </c>
      <c r="M12" s="5" t="n">
        <f aca="false">Inputs!$C$25</f>
        <v>257</v>
      </c>
      <c r="N12" s="5" t="n">
        <f aca="false">Inputs!$C$25</f>
        <v>257</v>
      </c>
      <c r="O12" s="5" t="n">
        <f aca="false">Inputs!$C$25</f>
        <v>257</v>
      </c>
      <c r="P12" s="5" t="n">
        <f aca="false">Inputs!$C$25</f>
        <v>257</v>
      </c>
      <c r="Q12" s="5" t="n">
        <f aca="false">Inputs!$C$25</f>
        <v>257</v>
      </c>
      <c r="R12" s="5" t="n">
        <f aca="false">Inputs!$C$25</f>
        <v>257</v>
      </c>
      <c r="S12" s="5" t="n">
        <f aca="false">Inputs!$C$25</f>
        <v>257</v>
      </c>
      <c r="T12" s="5" t="n">
        <f aca="false">Inputs!$C$25</f>
        <v>257</v>
      </c>
      <c r="U12" s="5" t="n">
        <f aca="false">Inputs!$C$25</f>
        <v>257</v>
      </c>
      <c r="V12" s="5" t="n">
        <f aca="false">Inputs!$C$25</f>
        <v>257</v>
      </c>
      <c r="W12" s="5" t="n">
        <f aca="false">Inputs!$C$25</f>
        <v>257</v>
      </c>
      <c r="X12" s="5" t="n">
        <f aca="false">Inputs!$C$25</f>
        <v>257</v>
      </c>
      <c r="Y12" s="5" t="n">
        <f aca="false">Inputs!$C$25</f>
        <v>257</v>
      </c>
      <c r="Z12" s="5" t="n">
        <f aca="false">Inputs!$C$25</f>
        <v>257</v>
      </c>
      <c r="AA12" s="5" t="n">
        <f aca="false">Inputs!$C$25</f>
        <v>257</v>
      </c>
    </row>
    <row r="13" customFormat="false" ht="15" hidden="false" customHeight="false" outlineLevel="0" collapsed="false">
      <c r="A13" s="2" t="s">
        <v>157</v>
      </c>
      <c r="B13" s="5" t="n">
        <f aca="false">Inputs!$C$26</f>
        <v>1280</v>
      </c>
      <c r="C13" s="5" t="n">
        <f aca="false">Inputs!$C$26</f>
        <v>1280</v>
      </c>
      <c r="D13" s="5" t="n">
        <f aca="false">Inputs!$C$26</f>
        <v>1280</v>
      </c>
      <c r="E13" s="5" t="n">
        <f aca="false">Inputs!$C$26</f>
        <v>1280</v>
      </c>
      <c r="F13" s="5" t="n">
        <f aca="false">Inputs!$C$26</f>
        <v>1280</v>
      </c>
      <c r="G13" s="5" t="n">
        <f aca="false">Inputs!$C$26</f>
        <v>1280</v>
      </c>
      <c r="H13" s="5" t="n">
        <f aca="false">Inputs!$C$26</f>
        <v>1280</v>
      </c>
      <c r="I13" s="5" t="n">
        <f aca="false">Inputs!$C$26</f>
        <v>1280</v>
      </c>
      <c r="J13" s="5" t="n">
        <f aca="false">Inputs!$C$26</f>
        <v>1280</v>
      </c>
      <c r="K13" s="5" t="n">
        <f aca="false">Inputs!$C$26</f>
        <v>1280</v>
      </c>
      <c r="L13" s="5" t="n">
        <f aca="false">Inputs!$C$26</f>
        <v>1280</v>
      </c>
      <c r="M13" s="5" t="n">
        <f aca="false">Inputs!$C$26</f>
        <v>1280</v>
      </c>
      <c r="N13" s="5" t="n">
        <f aca="false">Inputs!$C$26</f>
        <v>1280</v>
      </c>
      <c r="O13" s="5" t="n">
        <f aca="false">Inputs!$C$26</f>
        <v>1280</v>
      </c>
      <c r="P13" s="5" t="n">
        <f aca="false">Inputs!$C$26</f>
        <v>1280</v>
      </c>
      <c r="Q13" s="5" t="n">
        <f aca="false">Inputs!$C$26</f>
        <v>1280</v>
      </c>
      <c r="R13" s="5" t="n">
        <f aca="false">Inputs!$C$26</f>
        <v>1280</v>
      </c>
      <c r="S13" s="5" t="n">
        <f aca="false">Inputs!$C$26</f>
        <v>1280</v>
      </c>
      <c r="T13" s="5" t="n">
        <f aca="false">Inputs!$C$26</f>
        <v>1280</v>
      </c>
      <c r="U13" s="5" t="n">
        <f aca="false">Inputs!$C$26</f>
        <v>1280</v>
      </c>
      <c r="V13" s="5" t="n">
        <f aca="false">Inputs!$C$26</f>
        <v>1280</v>
      </c>
      <c r="W13" s="5" t="n">
        <f aca="false">Inputs!$C$26</f>
        <v>1280</v>
      </c>
      <c r="X13" s="5" t="n">
        <f aca="false">Inputs!$C$26</f>
        <v>1280</v>
      </c>
      <c r="Y13" s="5" t="n">
        <f aca="false">Inputs!$C$26</f>
        <v>1280</v>
      </c>
      <c r="Z13" s="5" t="n">
        <f aca="false">Inputs!$C$26</f>
        <v>1280</v>
      </c>
      <c r="AA13" s="5" t="n">
        <f aca="false">Inputs!$C$26</f>
        <v>1280</v>
      </c>
    </row>
    <row r="14" customFormat="false" ht="15" hidden="false" customHeight="false" outlineLevel="0" collapsed="false">
      <c r="A14" s="2" t="s">
        <v>164</v>
      </c>
      <c r="B14" s="5" t="n">
        <f aca="false">Inputs!$C$28</f>
        <v>121</v>
      </c>
      <c r="C14" s="5" t="n">
        <f aca="false">Inputs!$C$28</f>
        <v>121</v>
      </c>
      <c r="D14" s="5" t="n">
        <f aca="false">Inputs!$C$28</f>
        <v>121</v>
      </c>
      <c r="E14" s="5" t="n">
        <f aca="false">Inputs!$C$28</f>
        <v>121</v>
      </c>
      <c r="F14" s="5" t="n">
        <f aca="false">Inputs!$C$28</f>
        <v>121</v>
      </c>
      <c r="G14" s="5" t="n">
        <f aca="false">Inputs!$C$28</f>
        <v>121</v>
      </c>
      <c r="H14" s="5" t="n">
        <f aca="false">Inputs!$C$28</f>
        <v>121</v>
      </c>
      <c r="I14" s="5" t="n">
        <f aca="false">Inputs!$C$28</f>
        <v>121</v>
      </c>
      <c r="J14" s="5" t="n">
        <f aca="false">Inputs!$C$28</f>
        <v>121</v>
      </c>
      <c r="K14" s="5" t="n">
        <f aca="false">Inputs!$C$28</f>
        <v>121</v>
      </c>
      <c r="L14" s="5" t="n">
        <f aca="false">Inputs!$C$28</f>
        <v>121</v>
      </c>
      <c r="M14" s="5" t="n">
        <f aca="false">Inputs!$C$28</f>
        <v>121</v>
      </c>
      <c r="N14" s="5" t="n">
        <f aca="false">Inputs!$C$28</f>
        <v>121</v>
      </c>
      <c r="O14" s="5" t="n">
        <f aca="false">Inputs!$C$28</f>
        <v>121</v>
      </c>
      <c r="P14" s="5" t="n">
        <f aca="false">Inputs!$C$28</f>
        <v>121</v>
      </c>
      <c r="Q14" s="5" t="n">
        <f aca="false">Inputs!$C$28</f>
        <v>121</v>
      </c>
      <c r="R14" s="5" t="n">
        <f aca="false">Inputs!$C$28</f>
        <v>121</v>
      </c>
      <c r="S14" s="5" t="n">
        <f aca="false">Inputs!$C$28</f>
        <v>121</v>
      </c>
      <c r="T14" s="5" t="n">
        <f aca="false">Inputs!$C$28</f>
        <v>121</v>
      </c>
      <c r="U14" s="5" t="n">
        <f aca="false">Inputs!$C$28</f>
        <v>121</v>
      </c>
      <c r="V14" s="5" t="n">
        <f aca="false">Inputs!$C$28</f>
        <v>121</v>
      </c>
      <c r="W14" s="5" t="n">
        <f aca="false">Inputs!$C$28</f>
        <v>121</v>
      </c>
      <c r="X14" s="5" t="n">
        <f aca="false">Inputs!$C$28</f>
        <v>121</v>
      </c>
      <c r="Y14" s="5" t="n">
        <f aca="false">Inputs!$C$28</f>
        <v>121</v>
      </c>
      <c r="Z14" s="5" t="n">
        <f aca="false">Inputs!$C$28</f>
        <v>121</v>
      </c>
      <c r="AA14" s="5" t="n">
        <f aca="false">Inputs!$C$28</f>
        <v>121</v>
      </c>
    </row>
    <row r="15" customFormat="false" ht="15" hidden="false" customHeight="false" outlineLevel="0" collapsed="false">
      <c r="A15" s="2" t="s">
        <v>166</v>
      </c>
      <c r="B15" s="5" t="n">
        <f aca="false">Inputs!$C$29</f>
        <v>4100</v>
      </c>
      <c r="C15" s="5" t="n">
        <f aca="false">Inputs!$C$29</f>
        <v>4100</v>
      </c>
      <c r="D15" s="5" t="n">
        <f aca="false">Inputs!$C$29</f>
        <v>4100</v>
      </c>
      <c r="E15" s="5" t="n">
        <f aca="false">Inputs!$C$29</f>
        <v>4100</v>
      </c>
      <c r="F15" s="5" t="n">
        <f aca="false">Inputs!$C$29</f>
        <v>4100</v>
      </c>
      <c r="G15" s="5" t="n">
        <f aca="false">Inputs!$C$29</f>
        <v>4100</v>
      </c>
      <c r="H15" s="5" t="n">
        <f aca="false">Inputs!$C$29</f>
        <v>4100</v>
      </c>
      <c r="I15" s="5" t="n">
        <f aca="false">Inputs!$C$29</f>
        <v>4100</v>
      </c>
      <c r="J15" s="5" t="n">
        <f aca="false">Inputs!$C$29</f>
        <v>4100</v>
      </c>
      <c r="K15" s="5" t="n">
        <f aca="false">Inputs!$C$29</f>
        <v>4100</v>
      </c>
      <c r="L15" s="5" t="n">
        <f aca="false">Inputs!$C$29</f>
        <v>4100</v>
      </c>
      <c r="M15" s="5" t="n">
        <f aca="false">Inputs!$C$29</f>
        <v>4100</v>
      </c>
      <c r="N15" s="5" t="n">
        <f aca="false">Inputs!$C$29</f>
        <v>4100</v>
      </c>
      <c r="O15" s="5" t="n">
        <f aca="false">Inputs!$C$29</f>
        <v>4100</v>
      </c>
      <c r="P15" s="5" t="n">
        <f aca="false">Inputs!$C$29</f>
        <v>4100</v>
      </c>
      <c r="Q15" s="5" t="n">
        <f aca="false">Inputs!$C$29</f>
        <v>4100</v>
      </c>
      <c r="R15" s="5" t="n">
        <f aca="false">Inputs!$C$29</f>
        <v>4100</v>
      </c>
      <c r="S15" s="5" t="n">
        <f aca="false">Inputs!$C$29</f>
        <v>4100</v>
      </c>
      <c r="T15" s="5" t="n">
        <f aca="false">Inputs!$C$29</f>
        <v>4100</v>
      </c>
      <c r="U15" s="5" t="n">
        <f aca="false">Inputs!$C$29</f>
        <v>4100</v>
      </c>
      <c r="V15" s="5" t="n">
        <f aca="false">Inputs!$C$29</f>
        <v>4100</v>
      </c>
      <c r="W15" s="5" t="n">
        <f aca="false">Inputs!$C$29</f>
        <v>4100</v>
      </c>
      <c r="X15" s="5" t="n">
        <f aca="false">Inputs!$C$29</f>
        <v>4100</v>
      </c>
      <c r="Y15" s="5" t="n">
        <f aca="false">Inputs!$C$29</f>
        <v>4100</v>
      </c>
      <c r="Z15" s="5" t="n">
        <f aca="false">Inputs!$C$29</f>
        <v>4100</v>
      </c>
      <c r="AA15" s="5" t="n">
        <f aca="false">Inputs!$C$29</f>
        <v>4100</v>
      </c>
    </row>
    <row r="16" customFormat="false" ht="15" hidden="false" customHeight="false" outlineLevel="0" collapsed="false">
      <c r="A16" s="2" t="s">
        <v>170</v>
      </c>
      <c r="B16" s="5" t="n">
        <f aca="false">Inputs!$C$30</f>
        <v>850</v>
      </c>
      <c r="C16" s="5" t="n">
        <f aca="false">Inputs!$C$30</f>
        <v>850</v>
      </c>
      <c r="D16" s="5" t="n">
        <f aca="false">Inputs!$C$30</f>
        <v>850</v>
      </c>
      <c r="E16" s="5" t="n">
        <f aca="false">Inputs!$C$30</f>
        <v>850</v>
      </c>
      <c r="F16" s="5" t="n">
        <f aca="false">Inputs!$C$30</f>
        <v>850</v>
      </c>
      <c r="G16" s="5" t="n">
        <f aca="false">Inputs!$C$30</f>
        <v>850</v>
      </c>
      <c r="H16" s="5" t="n">
        <f aca="false">Inputs!$C$30</f>
        <v>850</v>
      </c>
      <c r="I16" s="5" t="n">
        <f aca="false">Inputs!$C$30</f>
        <v>850</v>
      </c>
      <c r="J16" s="5" t="n">
        <f aca="false">Inputs!$C$30</f>
        <v>850</v>
      </c>
      <c r="K16" s="5" t="n">
        <f aca="false">Inputs!$C$30</f>
        <v>850</v>
      </c>
      <c r="L16" s="5" t="n">
        <f aca="false">Inputs!$C$30</f>
        <v>850</v>
      </c>
      <c r="M16" s="5" t="n">
        <f aca="false">Inputs!$C$30</f>
        <v>850</v>
      </c>
      <c r="N16" s="5" t="n">
        <f aca="false">Inputs!$C$30</f>
        <v>850</v>
      </c>
      <c r="O16" s="5" t="n">
        <f aca="false">Inputs!$C$30</f>
        <v>850</v>
      </c>
      <c r="P16" s="5" t="n">
        <f aca="false">Inputs!$C$30</f>
        <v>850</v>
      </c>
      <c r="Q16" s="5" t="n">
        <f aca="false">Inputs!$C$30</f>
        <v>850</v>
      </c>
      <c r="R16" s="5" t="n">
        <f aca="false">Inputs!$C$30</f>
        <v>850</v>
      </c>
      <c r="S16" s="5" t="n">
        <f aca="false">Inputs!$C$30</f>
        <v>850</v>
      </c>
      <c r="T16" s="5" t="n">
        <f aca="false">Inputs!$C$30</f>
        <v>850</v>
      </c>
      <c r="U16" s="5" t="n">
        <f aca="false">Inputs!$C$30</f>
        <v>850</v>
      </c>
      <c r="V16" s="5" t="n">
        <f aca="false">Inputs!$C$30</f>
        <v>850</v>
      </c>
      <c r="W16" s="5" t="n">
        <f aca="false">Inputs!$C$30</f>
        <v>850</v>
      </c>
      <c r="X16" s="5" t="n">
        <f aca="false">Inputs!$C$30</f>
        <v>850</v>
      </c>
      <c r="Y16" s="5" t="n">
        <f aca="false">Inputs!$C$30</f>
        <v>850</v>
      </c>
      <c r="Z16" s="5" t="n">
        <f aca="false">Inputs!$C$30</f>
        <v>850</v>
      </c>
      <c r="AA16" s="5" t="n">
        <f aca="false">Inputs!$C$30</f>
        <v>850</v>
      </c>
    </row>
    <row r="17" customFormat="false" ht="15" hidden="false" customHeight="false" outlineLevel="0" collapsed="false">
      <c r="A17" s="2" t="s">
        <v>173</v>
      </c>
      <c r="B17" s="5" t="n">
        <f aca="false">Inputs!$C$31</f>
        <v>1267</v>
      </c>
      <c r="C17" s="5" t="n">
        <f aca="false">Inputs!$C$31</f>
        <v>1267</v>
      </c>
      <c r="D17" s="5" t="n">
        <f aca="false">Inputs!$C$31</f>
        <v>1267</v>
      </c>
      <c r="E17" s="5" t="n">
        <f aca="false">Inputs!$C$31</f>
        <v>1267</v>
      </c>
      <c r="F17" s="5" t="n">
        <f aca="false">Inputs!$C$31</f>
        <v>1267</v>
      </c>
      <c r="G17" s="5" t="n">
        <f aca="false">Inputs!$C$31</f>
        <v>1267</v>
      </c>
      <c r="H17" s="5" t="n">
        <f aca="false">Inputs!$C$31</f>
        <v>1267</v>
      </c>
      <c r="I17" s="5" t="n">
        <f aca="false">Inputs!$C$31</f>
        <v>1267</v>
      </c>
      <c r="J17" s="5" t="n">
        <f aca="false">Inputs!$C$31</f>
        <v>1267</v>
      </c>
      <c r="K17" s="5" t="n">
        <f aca="false">Inputs!$C$31</f>
        <v>1267</v>
      </c>
      <c r="L17" s="5" t="n">
        <f aca="false">Inputs!$C$31</f>
        <v>1267</v>
      </c>
      <c r="M17" s="5" t="n">
        <f aca="false">Inputs!$C$31</f>
        <v>1267</v>
      </c>
      <c r="N17" s="5" t="n">
        <f aca="false">Inputs!$C$31</f>
        <v>1267</v>
      </c>
      <c r="O17" s="5" t="n">
        <f aca="false">Inputs!$C$31</f>
        <v>1267</v>
      </c>
      <c r="P17" s="5" t="n">
        <f aca="false">Inputs!$C$31</f>
        <v>1267</v>
      </c>
      <c r="Q17" s="5" t="n">
        <f aca="false">Inputs!$C$31</f>
        <v>1267</v>
      </c>
      <c r="R17" s="5" t="n">
        <f aca="false">Inputs!$C$31</f>
        <v>1267</v>
      </c>
      <c r="S17" s="5" t="n">
        <f aca="false">Inputs!$C$31</f>
        <v>1267</v>
      </c>
      <c r="T17" s="5" t="n">
        <f aca="false">Inputs!$C$31</f>
        <v>1267</v>
      </c>
      <c r="U17" s="5" t="n">
        <f aca="false">Inputs!$C$31</f>
        <v>1267</v>
      </c>
      <c r="V17" s="5" t="n">
        <f aca="false">Inputs!$C$31</f>
        <v>1267</v>
      </c>
      <c r="W17" s="5" t="n">
        <f aca="false">Inputs!$C$31</f>
        <v>1267</v>
      </c>
      <c r="X17" s="5" t="n">
        <f aca="false">Inputs!$C$31</f>
        <v>1267</v>
      </c>
      <c r="Y17" s="5" t="n">
        <f aca="false">Inputs!$C$31</f>
        <v>1267</v>
      </c>
      <c r="Z17" s="5" t="n">
        <f aca="false">Inputs!$C$31</f>
        <v>1267</v>
      </c>
      <c r="AA17" s="5" t="n">
        <f aca="false">Inputs!$C$31</f>
        <v>1267</v>
      </c>
    </row>
    <row r="18" customFormat="false" ht="15" hidden="false" customHeight="false" outlineLevel="0" collapsed="false">
      <c r="A18" s="2" t="s">
        <v>176</v>
      </c>
      <c r="B18" s="5" t="n">
        <f aca="false">Inputs!$C$32</f>
        <v>84</v>
      </c>
      <c r="C18" s="5" t="n">
        <f aca="false">Inputs!$C$32</f>
        <v>84</v>
      </c>
      <c r="D18" s="5" t="n">
        <f aca="false">Inputs!$C$32</f>
        <v>84</v>
      </c>
      <c r="E18" s="5" t="n">
        <f aca="false">Inputs!$C$32</f>
        <v>84</v>
      </c>
      <c r="F18" s="5" t="n">
        <f aca="false">Inputs!$C$32</f>
        <v>84</v>
      </c>
      <c r="G18" s="5" t="n">
        <f aca="false">Inputs!$C$32</f>
        <v>84</v>
      </c>
      <c r="H18" s="5" t="n">
        <f aca="false">Inputs!$C$32</f>
        <v>84</v>
      </c>
      <c r="I18" s="5" t="n">
        <f aca="false">Inputs!$C$32</f>
        <v>84</v>
      </c>
      <c r="J18" s="5" t="n">
        <f aca="false">Inputs!$C$32</f>
        <v>84</v>
      </c>
      <c r="K18" s="5" t="n">
        <f aca="false">Inputs!$C$32</f>
        <v>84</v>
      </c>
      <c r="L18" s="5" t="n">
        <f aca="false">Inputs!$C$32</f>
        <v>84</v>
      </c>
      <c r="M18" s="5" t="n">
        <f aca="false">Inputs!$C$32</f>
        <v>84</v>
      </c>
      <c r="N18" s="5" t="n">
        <f aca="false">Inputs!$C$32</f>
        <v>84</v>
      </c>
      <c r="O18" s="5" t="n">
        <f aca="false">Inputs!$C$32</f>
        <v>84</v>
      </c>
      <c r="P18" s="5" t="n">
        <f aca="false">Inputs!$C$32</f>
        <v>84</v>
      </c>
      <c r="Q18" s="5" t="n">
        <f aca="false">Inputs!$C$32</f>
        <v>84</v>
      </c>
      <c r="R18" s="5" t="n">
        <f aca="false">Inputs!$C$32</f>
        <v>84</v>
      </c>
      <c r="S18" s="5" t="n">
        <f aca="false">Inputs!$C$32</f>
        <v>84</v>
      </c>
      <c r="T18" s="5" t="n">
        <f aca="false">Inputs!$C$32</f>
        <v>84</v>
      </c>
      <c r="U18" s="5" t="n">
        <f aca="false">Inputs!$C$32</f>
        <v>84</v>
      </c>
      <c r="V18" s="5" t="n">
        <f aca="false">Inputs!$C$32</f>
        <v>84</v>
      </c>
      <c r="W18" s="5" t="n">
        <f aca="false">Inputs!$C$32</f>
        <v>84</v>
      </c>
      <c r="X18" s="5" t="n">
        <f aca="false">Inputs!$C$32</f>
        <v>84</v>
      </c>
      <c r="Y18" s="5" t="n">
        <f aca="false">Inputs!$C$32</f>
        <v>84</v>
      </c>
      <c r="Z18" s="5" t="n">
        <f aca="false">Inputs!$C$32</f>
        <v>84</v>
      </c>
      <c r="AA18" s="5" t="n">
        <f aca="false">Inputs!$C$32</f>
        <v>84</v>
      </c>
    </row>
    <row r="19" customFormat="false" ht="15" hidden="false" customHeight="false" outlineLevel="0" collapsed="false">
      <c r="A19" s="2" t="s">
        <v>184</v>
      </c>
      <c r="B19" s="5" t="n">
        <f aca="false">Inputs!$C$36</f>
        <v>2000</v>
      </c>
      <c r="C19" s="5" t="n">
        <f aca="false">Inputs!$C$36</f>
        <v>2000</v>
      </c>
      <c r="D19" s="5" t="n">
        <f aca="false">Inputs!$C$36</f>
        <v>2000</v>
      </c>
      <c r="E19" s="5" t="n">
        <f aca="false">Inputs!$C$36</f>
        <v>2000</v>
      </c>
      <c r="F19" s="5" t="n">
        <f aca="false">Inputs!$C$36</f>
        <v>2000</v>
      </c>
      <c r="G19" s="5" t="n">
        <f aca="false">Inputs!$C$36</f>
        <v>2000</v>
      </c>
      <c r="H19" s="5" t="n">
        <f aca="false">Inputs!$C$36</f>
        <v>2000</v>
      </c>
      <c r="I19" s="5" t="n">
        <f aca="false">Inputs!$C$36</f>
        <v>2000</v>
      </c>
      <c r="J19" s="5" t="n">
        <f aca="false">Inputs!$C$36</f>
        <v>2000</v>
      </c>
      <c r="K19" s="5" t="n">
        <f aca="false">Inputs!$C$36</f>
        <v>2000</v>
      </c>
      <c r="L19" s="5" t="n">
        <f aca="false">Inputs!$C$36</f>
        <v>2000</v>
      </c>
      <c r="M19" s="5" t="n">
        <f aca="false">Inputs!$C$36</f>
        <v>2000</v>
      </c>
      <c r="N19" s="5" t="n">
        <f aca="false">Inputs!$C$36</f>
        <v>2000</v>
      </c>
      <c r="O19" s="5" t="n">
        <f aca="false">Inputs!$C$36</f>
        <v>2000</v>
      </c>
      <c r="P19" s="5" t="n">
        <f aca="false">Inputs!$C$36</f>
        <v>2000</v>
      </c>
      <c r="Q19" s="5" t="n">
        <f aca="false">Inputs!$C$36</f>
        <v>2000</v>
      </c>
      <c r="R19" s="5" t="n">
        <f aca="false">Inputs!$C$36</f>
        <v>2000</v>
      </c>
      <c r="S19" s="5" t="n">
        <f aca="false">Inputs!$C$36</f>
        <v>2000</v>
      </c>
      <c r="T19" s="5" t="n">
        <f aca="false">Inputs!$C$36</f>
        <v>2000</v>
      </c>
      <c r="U19" s="5" t="n">
        <f aca="false">Inputs!$C$36</f>
        <v>2000</v>
      </c>
      <c r="V19" s="5" t="n">
        <f aca="false">Inputs!$C$36</f>
        <v>2000</v>
      </c>
      <c r="W19" s="5" t="n">
        <f aca="false">Inputs!$C$36</f>
        <v>2000</v>
      </c>
      <c r="X19" s="5" t="n">
        <f aca="false">Inputs!$C$36</f>
        <v>2000</v>
      </c>
      <c r="Y19" s="5" t="n">
        <f aca="false">Inputs!$C$36</f>
        <v>2000</v>
      </c>
      <c r="Z19" s="5" t="n">
        <f aca="false">Inputs!$C$36</f>
        <v>2000</v>
      </c>
      <c r="AA19" s="5" t="n">
        <f aca="false">Inputs!$C$36</f>
        <v>2000</v>
      </c>
    </row>
    <row r="20" customFormat="false" ht="15" hidden="false" customHeight="false" outlineLevel="0" collapsed="false">
      <c r="A20" s="2" t="s">
        <v>187</v>
      </c>
      <c r="B20" s="29" t="n">
        <f aca="false">Inputs!$C$37</f>
        <v>0.75</v>
      </c>
      <c r="C20" s="29" t="n">
        <f aca="false">Inputs!$C$37</f>
        <v>0.75</v>
      </c>
      <c r="D20" s="30" t="n">
        <v>0.5</v>
      </c>
      <c r="E20" s="30" t="n">
        <v>1</v>
      </c>
      <c r="F20" s="29" t="n">
        <f aca="false">Inputs!$C$37</f>
        <v>0.75</v>
      </c>
      <c r="G20" s="29" t="n">
        <f aca="false">Inputs!$C$37</f>
        <v>0.75</v>
      </c>
      <c r="H20" s="29" t="n">
        <f aca="false">Inputs!$C$37</f>
        <v>0.75</v>
      </c>
      <c r="I20" s="29" t="n">
        <f aca="false">Inputs!$C$37</f>
        <v>0.75</v>
      </c>
      <c r="J20" s="29" t="n">
        <f aca="false">Inputs!$C$37</f>
        <v>0.75</v>
      </c>
      <c r="K20" s="29" t="n">
        <f aca="false">Inputs!$C$37</f>
        <v>0.75</v>
      </c>
      <c r="L20" s="30" t="n">
        <v>0.5</v>
      </c>
      <c r="M20" s="30" t="n">
        <v>1</v>
      </c>
      <c r="N20" s="29" t="n">
        <f aca="false">Inputs!$C$37</f>
        <v>0.75</v>
      </c>
      <c r="O20" s="29" t="n">
        <f aca="false">Inputs!$C$37</f>
        <v>0.75</v>
      </c>
      <c r="P20" s="29" t="n">
        <f aca="false">Inputs!$C$37</f>
        <v>0.75</v>
      </c>
      <c r="Q20" s="29" t="n">
        <f aca="false">Inputs!$C$37</f>
        <v>0.75</v>
      </c>
      <c r="R20" s="29" t="n">
        <f aca="false">Inputs!$C$37</f>
        <v>0.75</v>
      </c>
      <c r="S20" s="29" t="n">
        <f aca="false">Inputs!$C$37</f>
        <v>0.75</v>
      </c>
      <c r="T20" s="29" t="n">
        <f aca="false">Inputs!$C$37</f>
        <v>0.75</v>
      </c>
      <c r="U20" s="29" t="n">
        <f aca="false">Inputs!$C$37</f>
        <v>0.75</v>
      </c>
      <c r="V20" s="29" t="n">
        <f aca="false">Inputs!$C$37</f>
        <v>0.75</v>
      </c>
      <c r="W20" s="29" t="n">
        <f aca="false">Inputs!$C$37</f>
        <v>0.75</v>
      </c>
      <c r="X20" s="29" t="n">
        <f aca="false">Inputs!$C$37</f>
        <v>0.75</v>
      </c>
      <c r="Y20" s="29" t="n">
        <f aca="false">Inputs!$C$37</f>
        <v>0.75</v>
      </c>
      <c r="Z20" s="29" t="n">
        <f aca="false">Inputs!$C$37</f>
        <v>0.75</v>
      </c>
      <c r="AA20" s="29" t="n">
        <f aca="false">Inputs!$C$37</f>
        <v>0.75</v>
      </c>
    </row>
    <row r="21" customFormat="false" ht="15" hidden="false" customHeight="false" outlineLevel="0" collapsed="false">
      <c r="A21" s="2" t="s">
        <v>190</v>
      </c>
      <c r="B21" s="29" t="n">
        <f aca="false">Inputs!$C$38</f>
        <v>0.2</v>
      </c>
      <c r="C21" s="29" t="n">
        <f aca="false">Inputs!$C$38</f>
        <v>0.2</v>
      </c>
      <c r="D21" s="29" t="n">
        <f aca="false">Inputs!$C$38</f>
        <v>0.2</v>
      </c>
      <c r="E21" s="29" t="n">
        <f aca="false">Inputs!$C$38</f>
        <v>0.2</v>
      </c>
      <c r="F21" s="29" t="n">
        <f aca="false">Inputs!$C$38</f>
        <v>0.2</v>
      </c>
      <c r="G21" s="29" t="n">
        <f aca="false">Inputs!$C$38</f>
        <v>0.2</v>
      </c>
      <c r="H21" s="29" t="n">
        <f aca="false">Inputs!$C$38</f>
        <v>0.2</v>
      </c>
      <c r="I21" s="29" t="n">
        <f aca="false">Inputs!$C$38</f>
        <v>0.2</v>
      </c>
      <c r="J21" s="29" t="n">
        <f aca="false">Inputs!$C$38</f>
        <v>0.2</v>
      </c>
      <c r="K21" s="29" t="n">
        <f aca="false">Inputs!$C$38</f>
        <v>0.2</v>
      </c>
      <c r="L21" s="29" t="n">
        <f aca="false">Inputs!$C$38</f>
        <v>0.2</v>
      </c>
      <c r="M21" s="29" t="n">
        <f aca="false">Inputs!$C$38</f>
        <v>0.2</v>
      </c>
      <c r="N21" s="29" t="n">
        <f aca="false">Inputs!$C$38</f>
        <v>0.2</v>
      </c>
      <c r="O21" s="29" t="n">
        <f aca="false">Inputs!$C$38</f>
        <v>0.2</v>
      </c>
      <c r="P21" s="29" t="n">
        <f aca="false">Inputs!$C$38</f>
        <v>0.2</v>
      </c>
      <c r="Q21" s="29" t="n">
        <f aca="false">Inputs!$C$38</f>
        <v>0.2</v>
      </c>
      <c r="R21" s="29" t="n">
        <f aca="false">Inputs!$C$38</f>
        <v>0.2</v>
      </c>
      <c r="S21" s="29" t="n">
        <f aca="false">Inputs!$C$38</f>
        <v>0.2</v>
      </c>
      <c r="T21" s="29" t="n">
        <f aca="false">Inputs!$C$38</f>
        <v>0.2</v>
      </c>
      <c r="U21" s="29" t="n">
        <f aca="false">Inputs!$C$38</f>
        <v>0.2</v>
      </c>
      <c r="V21" s="29" t="n">
        <f aca="false">Inputs!$C$38</f>
        <v>0.2</v>
      </c>
      <c r="W21" s="29" t="n">
        <f aca="false">Inputs!$C$38</f>
        <v>0.2</v>
      </c>
      <c r="X21" s="29" t="n">
        <f aca="false">Inputs!$C$38</f>
        <v>0.2</v>
      </c>
      <c r="Y21" s="29" t="n">
        <f aca="false">Inputs!$C$38</f>
        <v>0.2</v>
      </c>
      <c r="Z21" s="29" t="n">
        <f aca="false">Inputs!$C$38</f>
        <v>0.2</v>
      </c>
      <c r="AA21" s="29" t="n">
        <f aca="false">Inputs!$C$38</f>
        <v>0.2</v>
      </c>
    </row>
    <row r="22" customFormat="false" ht="15" hidden="false" customHeight="false" outlineLevel="0" collapsed="false">
      <c r="A22" s="2" t="s">
        <v>193</v>
      </c>
      <c r="B22" s="6" t="n">
        <f aca="false">Inputs!$C$39</f>
        <v>10</v>
      </c>
      <c r="C22" s="6" t="n">
        <f aca="false">Inputs!$C$39</f>
        <v>10</v>
      </c>
      <c r="D22" s="31" t="n">
        <v>8</v>
      </c>
      <c r="E22" s="31" t="n">
        <v>12</v>
      </c>
      <c r="F22" s="6" t="n">
        <f aca="false">Inputs!$C$39</f>
        <v>10</v>
      </c>
      <c r="G22" s="6" t="n">
        <f aca="false">Inputs!$C$39</f>
        <v>10</v>
      </c>
      <c r="H22" s="6" t="n">
        <f aca="false">Inputs!$C$39</f>
        <v>10</v>
      </c>
      <c r="I22" s="6" t="n">
        <f aca="false">Inputs!$C$39</f>
        <v>10</v>
      </c>
      <c r="J22" s="6" t="n">
        <f aca="false">Inputs!$C$39</f>
        <v>10</v>
      </c>
      <c r="K22" s="6" t="n">
        <f aca="false">Inputs!$C$39</f>
        <v>10</v>
      </c>
      <c r="L22" s="6" t="n">
        <f aca="false">Inputs!$C$39</f>
        <v>10</v>
      </c>
      <c r="M22" s="6" t="n">
        <f aca="false">Inputs!$C$39</f>
        <v>10</v>
      </c>
      <c r="N22" s="31" t="n">
        <v>7</v>
      </c>
      <c r="O22" s="31" t="n">
        <v>13</v>
      </c>
      <c r="P22" s="6" t="n">
        <f aca="false">Inputs!$C$39</f>
        <v>10</v>
      </c>
      <c r="Q22" s="6" t="n">
        <f aca="false">Inputs!$C$39</f>
        <v>10</v>
      </c>
      <c r="R22" s="6" t="n">
        <f aca="false">Inputs!$C$39</f>
        <v>10</v>
      </c>
      <c r="S22" s="6" t="n">
        <f aca="false">Inputs!$C$39</f>
        <v>10</v>
      </c>
      <c r="T22" s="6" t="n">
        <f aca="false">Inputs!$C$39</f>
        <v>10</v>
      </c>
      <c r="U22" s="6" t="n">
        <f aca="false">Inputs!$C$39</f>
        <v>10</v>
      </c>
      <c r="V22" s="6" t="n">
        <f aca="false">Inputs!$C$39</f>
        <v>10</v>
      </c>
      <c r="W22" s="6" t="n">
        <f aca="false">Inputs!$C$39</f>
        <v>10</v>
      </c>
      <c r="X22" s="6" t="n">
        <f aca="false">Inputs!$C$39</f>
        <v>10</v>
      </c>
      <c r="Y22" s="6" t="n">
        <f aca="false">Inputs!$C$39</f>
        <v>10</v>
      </c>
      <c r="Z22" s="6" t="n">
        <f aca="false">Inputs!$C$39</f>
        <v>10</v>
      </c>
      <c r="AA22" s="6" t="n">
        <f aca="false">Inputs!$C$39</f>
        <v>10</v>
      </c>
    </row>
    <row r="23" customFormat="false" ht="15" hidden="false" customHeight="false" outlineLevel="0" collapsed="false">
      <c r="A23" s="2" t="s">
        <v>198</v>
      </c>
      <c r="B23" s="29" t="n">
        <f aca="false">Inputs!$C$41</f>
        <v>0.055</v>
      </c>
      <c r="C23" s="29" t="n">
        <f aca="false">Inputs!$C$41</f>
        <v>0.055</v>
      </c>
      <c r="D23" s="29" t="n">
        <f aca="false">Inputs!$C$41</f>
        <v>0.055</v>
      </c>
      <c r="E23" s="29" t="n">
        <f aca="false">Inputs!$C$41</f>
        <v>0.055</v>
      </c>
      <c r="F23" s="29" t="n">
        <f aca="false">Inputs!$C$41</f>
        <v>0.055</v>
      </c>
      <c r="G23" s="29" t="n">
        <f aca="false">Inputs!$C$41</f>
        <v>0.055</v>
      </c>
      <c r="H23" s="29" t="n">
        <f aca="false">Inputs!$C$41</f>
        <v>0.055</v>
      </c>
      <c r="I23" s="29" t="n">
        <f aca="false">Inputs!$C$41</f>
        <v>0.055</v>
      </c>
      <c r="J23" s="29" t="n">
        <f aca="false">Inputs!$C$41</f>
        <v>0.055</v>
      </c>
      <c r="K23" s="29" t="n">
        <f aca="false">Inputs!$C$41</f>
        <v>0.055</v>
      </c>
      <c r="L23" s="29" t="n">
        <f aca="false">Inputs!$C$41</f>
        <v>0.055</v>
      </c>
      <c r="M23" s="29" t="n">
        <f aca="false">Inputs!$C$41</f>
        <v>0.055</v>
      </c>
      <c r="N23" s="29" t="n">
        <f aca="false">Inputs!$C$41</f>
        <v>0.055</v>
      </c>
      <c r="O23" s="29" t="n">
        <f aca="false">Inputs!$C$41</f>
        <v>0.055</v>
      </c>
      <c r="P23" s="29" t="n">
        <f aca="false">Inputs!$C$41</f>
        <v>0.055</v>
      </c>
      <c r="Q23" s="29" t="n">
        <f aca="false">Inputs!$C$41</f>
        <v>0.055</v>
      </c>
      <c r="R23" s="29" t="n">
        <f aca="false">Inputs!$C$41</f>
        <v>0.055</v>
      </c>
      <c r="S23" s="29" t="n">
        <f aca="false">Inputs!$C$41</f>
        <v>0.055</v>
      </c>
      <c r="T23" s="29" t="n">
        <f aca="false">Inputs!$C$41</f>
        <v>0.055</v>
      </c>
      <c r="U23" s="29" t="n">
        <f aca="false">Inputs!$C$41</f>
        <v>0.055</v>
      </c>
      <c r="V23" s="29" t="n">
        <f aca="false">Inputs!$C$41</f>
        <v>0.055</v>
      </c>
      <c r="W23" s="29" t="n">
        <f aca="false">Inputs!$C$41</f>
        <v>0.055</v>
      </c>
      <c r="X23" s="29" t="n">
        <f aca="false">Inputs!$C$41</f>
        <v>0.055</v>
      </c>
      <c r="Y23" s="29" t="n">
        <f aca="false">Inputs!$C$41</f>
        <v>0.055</v>
      </c>
      <c r="Z23" s="29" t="n">
        <f aca="false">Inputs!$C$41</f>
        <v>0.055</v>
      </c>
      <c r="AA23" s="29" t="n">
        <f aca="false">Inputs!$C$41</f>
        <v>0.055</v>
      </c>
    </row>
    <row r="24" customFormat="false" ht="15" hidden="false" customHeight="false" outlineLevel="0" collapsed="false">
      <c r="A24" s="2" t="s">
        <v>201</v>
      </c>
      <c r="B24" s="29" t="n">
        <f aca="false">Inputs!$C$42</f>
        <v>-0.009</v>
      </c>
      <c r="C24" s="29" t="n">
        <f aca="false">Inputs!$C$42</f>
        <v>-0.009</v>
      </c>
      <c r="D24" s="29" t="n">
        <f aca="false">Inputs!$C$42</f>
        <v>-0.009</v>
      </c>
      <c r="E24" s="29" t="n">
        <f aca="false">Inputs!$C$42</f>
        <v>-0.009</v>
      </c>
      <c r="F24" s="29" t="n">
        <f aca="false">Inputs!$C$42</f>
        <v>-0.009</v>
      </c>
      <c r="G24" s="29" t="n">
        <f aca="false">Inputs!$C$42</f>
        <v>-0.009</v>
      </c>
      <c r="H24" s="29" t="n">
        <f aca="false">Inputs!$C$42</f>
        <v>-0.009</v>
      </c>
      <c r="I24" s="29" t="n">
        <f aca="false">Inputs!$C$42</f>
        <v>-0.009</v>
      </c>
      <c r="J24" s="29" t="n">
        <f aca="false">Inputs!$C$42</f>
        <v>-0.009</v>
      </c>
      <c r="K24" s="29" t="n">
        <f aca="false">Inputs!$C$42</f>
        <v>-0.009</v>
      </c>
      <c r="L24" s="29" t="n">
        <f aca="false">Inputs!$C$42</f>
        <v>-0.009</v>
      </c>
      <c r="M24" s="29" t="n">
        <f aca="false">Inputs!$C$42</f>
        <v>-0.009</v>
      </c>
      <c r="N24" s="29" t="n">
        <f aca="false">Inputs!$C$42</f>
        <v>-0.009</v>
      </c>
      <c r="O24" s="29" t="n">
        <f aca="false">Inputs!$C$42</f>
        <v>-0.009</v>
      </c>
      <c r="P24" s="29" t="n">
        <f aca="false">Inputs!$C$42</f>
        <v>-0.009</v>
      </c>
      <c r="Q24" s="29" t="n">
        <f aca="false">Inputs!$C$42</f>
        <v>-0.009</v>
      </c>
      <c r="R24" s="29" t="n">
        <f aca="false">Inputs!$C$42</f>
        <v>-0.009</v>
      </c>
      <c r="S24" s="29" t="n">
        <f aca="false">Inputs!$C$42</f>
        <v>-0.009</v>
      </c>
      <c r="T24" s="29" t="n">
        <f aca="false">Inputs!$C$42</f>
        <v>-0.009</v>
      </c>
      <c r="U24" s="29" t="n">
        <f aca="false">Inputs!$C$42</f>
        <v>-0.009</v>
      </c>
      <c r="V24" s="29" t="n">
        <f aca="false">Inputs!$C$42</f>
        <v>-0.009</v>
      </c>
      <c r="W24" s="29" t="n">
        <f aca="false">Inputs!$C$42</f>
        <v>-0.009</v>
      </c>
      <c r="X24" s="29" t="n">
        <f aca="false">Inputs!$C$42</f>
        <v>-0.009</v>
      </c>
      <c r="Y24" s="29" t="n">
        <f aca="false">Inputs!$C$42</f>
        <v>-0.009</v>
      </c>
      <c r="Z24" s="29" t="n">
        <f aca="false">Inputs!$C$42</f>
        <v>-0.009</v>
      </c>
      <c r="AA24" s="29" t="n">
        <f aca="false">Inputs!$C$42</f>
        <v>-0.009</v>
      </c>
    </row>
    <row r="25" customFormat="false" ht="15" hidden="false" customHeight="false" outlineLevel="0" collapsed="false">
      <c r="A25" s="2" t="s">
        <v>205</v>
      </c>
      <c r="B25" s="29" t="n">
        <f aca="false">Inputs!$C$43</f>
        <v>0.05</v>
      </c>
      <c r="C25" s="29" t="n">
        <f aca="false">Inputs!$C$43</f>
        <v>0.05</v>
      </c>
      <c r="D25" s="30" t="n">
        <v>0.04</v>
      </c>
      <c r="E25" s="30" t="n">
        <v>0.06</v>
      </c>
      <c r="F25" s="29" t="n">
        <f aca="false">Inputs!$C$43</f>
        <v>0.05</v>
      </c>
      <c r="G25" s="29" t="n">
        <f aca="false">Inputs!$C$43</f>
        <v>0.05</v>
      </c>
      <c r="H25" s="30" t="n">
        <v>0.04</v>
      </c>
      <c r="I25" s="30" t="n">
        <v>0.06</v>
      </c>
      <c r="J25" s="29" t="n">
        <f aca="false">Inputs!$C$43</f>
        <v>0.05</v>
      </c>
      <c r="K25" s="29" t="n">
        <f aca="false">Inputs!$C$43</f>
        <v>0.05</v>
      </c>
      <c r="L25" s="29" t="n">
        <f aca="false">Inputs!$C$43</f>
        <v>0.05</v>
      </c>
      <c r="M25" s="29" t="n">
        <f aca="false">Inputs!$C$43</f>
        <v>0.05</v>
      </c>
      <c r="N25" s="29" t="n">
        <f aca="false">Inputs!$C$43</f>
        <v>0.05</v>
      </c>
      <c r="O25" s="29" t="n">
        <f aca="false">Inputs!$C$43</f>
        <v>0.05</v>
      </c>
      <c r="P25" s="29" t="n">
        <f aca="false">Inputs!$C$43</f>
        <v>0.05</v>
      </c>
      <c r="Q25" s="29" t="n">
        <f aca="false">Inputs!$C$43</f>
        <v>0.05</v>
      </c>
      <c r="R25" s="29" t="n">
        <f aca="false">Inputs!$C$43</f>
        <v>0.05</v>
      </c>
      <c r="S25" s="29" t="n">
        <f aca="false">Inputs!$C$43</f>
        <v>0.05</v>
      </c>
      <c r="T25" s="29" t="n">
        <f aca="false">Inputs!$C$43</f>
        <v>0.05</v>
      </c>
      <c r="U25" s="29" t="n">
        <f aca="false">Inputs!$C$43</f>
        <v>0.05</v>
      </c>
      <c r="V25" s="29" t="n">
        <f aca="false">Inputs!$C$43</f>
        <v>0.05</v>
      </c>
      <c r="W25" s="29" t="n">
        <f aca="false">Inputs!$C$43</f>
        <v>0.05</v>
      </c>
      <c r="X25" s="29" t="n">
        <f aca="false">Inputs!$C$43</f>
        <v>0.05</v>
      </c>
      <c r="Y25" s="29" t="n">
        <f aca="false">Inputs!$C$43</f>
        <v>0.05</v>
      </c>
      <c r="Z25" s="29" t="n">
        <f aca="false">Inputs!$C$43</f>
        <v>0.05</v>
      </c>
      <c r="AA25" s="29" t="n">
        <f aca="false">Inputs!$C$43</f>
        <v>0.05</v>
      </c>
    </row>
    <row r="26" customFormat="false" ht="15" hidden="false" customHeight="false" outlineLevel="0" collapsed="false">
      <c r="A26" s="2" t="s">
        <v>113</v>
      </c>
      <c r="B26" s="5" t="n">
        <f aca="false">Inputs!$C$10</f>
        <v>7050</v>
      </c>
      <c r="C26" s="5" t="n">
        <f aca="false">Inputs!$C$10</f>
        <v>7050</v>
      </c>
      <c r="D26" s="5" t="n">
        <f aca="false">Inputs!$C$10</f>
        <v>7050</v>
      </c>
      <c r="E26" s="5" t="n">
        <f aca="false">Inputs!$C$10</f>
        <v>7050</v>
      </c>
      <c r="F26" s="5" t="n">
        <f aca="false">Inputs!$C$10</f>
        <v>7050</v>
      </c>
      <c r="G26" s="5" t="n">
        <f aca="false">Inputs!$C$10</f>
        <v>7050</v>
      </c>
      <c r="H26" s="5" t="n">
        <f aca="false">Inputs!$C$10</f>
        <v>7050</v>
      </c>
      <c r="I26" s="5" t="n">
        <f aca="false">Inputs!$C$10</f>
        <v>7050</v>
      </c>
      <c r="J26" s="5" t="n">
        <f aca="false">Inputs!$C$10</f>
        <v>7050</v>
      </c>
      <c r="K26" s="5" t="n">
        <f aca="false">Inputs!$C$10</f>
        <v>7050</v>
      </c>
      <c r="L26" s="5" t="n">
        <f aca="false">Inputs!$C$10</f>
        <v>7050</v>
      </c>
      <c r="M26" s="5" t="n">
        <f aca="false">Inputs!$C$10</f>
        <v>7050</v>
      </c>
      <c r="N26" s="5" t="n">
        <f aca="false">Inputs!$C$10</f>
        <v>7050</v>
      </c>
      <c r="O26" s="5" t="n">
        <f aca="false">Inputs!$C$10</f>
        <v>7050</v>
      </c>
      <c r="P26" s="5" t="n">
        <f aca="false">Inputs!$C$10</f>
        <v>7050</v>
      </c>
      <c r="Q26" s="5" t="n">
        <f aca="false">Inputs!$C$10</f>
        <v>7050</v>
      </c>
      <c r="R26" s="5" t="n">
        <f aca="false">Inputs!$C$10</f>
        <v>7050</v>
      </c>
      <c r="S26" s="5" t="n">
        <f aca="false">Inputs!$C$10</f>
        <v>7050</v>
      </c>
      <c r="T26" s="5" t="n">
        <f aca="false">Inputs!$C$10</f>
        <v>7050</v>
      </c>
      <c r="U26" s="5" t="n">
        <f aca="false">Inputs!$C$10</f>
        <v>7050</v>
      </c>
      <c r="V26" s="5" t="n">
        <f aca="false">Inputs!$C$10</f>
        <v>7050</v>
      </c>
      <c r="W26" s="5" t="n">
        <f aca="false">Inputs!$C$10</f>
        <v>7050</v>
      </c>
      <c r="X26" s="5" t="n">
        <f aca="false">Inputs!$C$10</f>
        <v>7050</v>
      </c>
      <c r="Y26" s="5" t="n">
        <f aca="false">Inputs!$C$10</f>
        <v>7050</v>
      </c>
      <c r="Z26" s="5" t="n">
        <f aca="false">Inputs!$C$10</f>
        <v>7050</v>
      </c>
      <c r="AA26" s="5" t="n">
        <f aca="false">Inputs!$C$10</f>
        <v>7050</v>
      </c>
    </row>
    <row r="27" customFormat="false" ht="15" hidden="false" customHeight="false" outlineLevel="0" collapsed="false">
      <c r="A27" s="2" t="s">
        <v>210</v>
      </c>
      <c r="B27" s="5" t="n">
        <f aca="false">Inputs!$C$44</f>
        <v>3040</v>
      </c>
      <c r="C27" s="5" t="n">
        <f aca="false">Inputs!$C$44</f>
        <v>3040</v>
      </c>
      <c r="D27" s="5" t="n">
        <f aca="false">Inputs!$C$44</f>
        <v>3040</v>
      </c>
      <c r="E27" s="5" t="n">
        <f aca="false">Inputs!$C$44</f>
        <v>3040</v>
      </c>
      <c r="F27" s="5" t="n">
        <f aca="false">Inputs!$C$44</f>
        <v>3040</v>
      </c>
      <c r="G27" s="5" t="n">
        <f aca="false">Inputs!$C$44</f>
        <v>3040</v>
      </c>
      <c r="H27" s="5" t="n">
        <f aca="false">Inputs!$C$44</f>
        <v>3040</v>
      </c>
      <c r="I27" s="5" t="n">
        <f aca="false">Inputs!$C$44</f>
        <v>3040</v>
      </c>
      <c r="J27" s="5" t="n">
        <f aca="false">Inputs!$C$44</f>
        <v>3040</v>
      </c>
      <c r="K27" s="5" t="n">
        <f aca="false">Inputs!$C$44</f>
        <v>3040</v>
      </c>
      <c r="L27" s="5" t="n">
        <f aca="false">Inputs!$C$44</f>
        <v>3040</v>
      </c>
      <c r="M27" s="5" t="n">
        <f aca="false">Inputs!$C$44</f>
        <v>3040</v>
      </c>
      <c r="N27" s="5" t="n">
        <f aca="false">Inputs!$C$44</f>
        <v>3040</v>
      </c>
      <c r="O27" s="5" t="n">
        <f aca="false">Inputs!$C$44</f>
        <v>3040</v>
      </c>
      <c r="P27" s="5" t="n">
        <f aca="false">Inputs!$C$44</f>
        <v>3040</v>
      </c>
      <c r="Q27" s="5" t="n">
        <f aca="false">Inputs!$C$44</f>
        <v>3040</v>
      </c>
      <c r="R27" s="5" t="n">
        <f aca="false">Inputs!$C$44</f>
        <v>3040</v>
      </c>
      <c r="S27" s="5" t="n">
        <f aca="false">Inputs!$C$44</f>
        <v>3040</v>
      </c>
      <c r="T27" s="5" t="n">
        <f aca="false">Inputs!$C$44</f>
        <v>3040</v>
      </c>
      <c r="U27" s="5" t="n">
        <f aca="false">Inputs!$C$44</f>
        <v>3040</v>
      </c>
      <c r="V27" s="5" t="n">
        <f aca="false">Inputs!$C$44</f>
        <v>3040</v>
      </c>
      <c r="W27" s="5" t="n">
        <f aca="false">Inputs!$C$44</f>
        <v>3040</v>
      </c>
      <c r="X27" s="5" t="n">
        <f aca="false">Inputs!$C$44</f>
        <v>3040</v>
      </c>
      <c r="Y27" s="5" t="n">
        <f aca="false">Inputs!$C$44</f>
        <v>3040</v>
      </c>
      <c r="Z27" s="5" t="n">
        <f aca="false">Inputs!$C$44</f>
        <v>3040</v>
      </c>
      <c r="AA27" s="5" t="n">
        <f aca="false">Inputs!$C$44</f>
        <v>3040</v>
      </c>
    </row>
    <row r="28" customFormat="false" ht="15" hidden="false" customHeight="false" outlineLevel="0" collapsed="false">
      <c r="A28" s="2" t="s">
        <v>215</v>
      </c>
      <c r="B28" s="6" t="n">
        <f aca="false">Inputs!$C$45</f>
        <v>9.8</v>
      </c>
      <c r="C28" s="6" t="n">
        <f aca="false">Inputs!$C$45</f>
        <v>9.8</v>
      </c>
      <c r="D28" s="6" t="n">
        <f aca="false">Inputs!$C$45</f>
        <v>9.8</v>
      </c>
      <c r="E28" s="6" t="n">
        <f aca="false">Inputs!$C$45</f>
        <v>9.8</v>
      </c>
      <c r="F28" s="6" t="n">
        <f aca="false">Inputs!$C$45</f>
        <v>9.8</v>
      </c>
      <c r="G28" s="6" t="n">
        <f aca="false">Inputs!$C$45</f>
        <v>9.8</v>
      </c>
      <c r="H28" s="6" t="n">
        <f aca="false">Inputs!$C$45</f>
        <v>9.8</v>
      </c>
      <c r="I28" s="6" t="n">
        <f aca="false">Inputs!$C$45</f>
        <v>9.8</v>
      </c>
      <c r="J28" s="6" t="n">
        <f aca="false">Inputs!$C$45</f>
        <v>9.8</v>
      </c>
      <c r="K28" s="6" t="n">
        <f aca="false">Inputs!$C$45</f>
        <v>9.8</v>
      </c>
      <c r="L28" s="6" t="n">
        <f aca="false">Inputs!$C$45</f>
        <v>9.8</v>
      </c>
      <c r="M28" s="6" t="n">
        <f aca="false">Inputs!$C$45</f>
        <v>9.8</v>
      </c>
      <c r="N28" s="6" t="n">
        <f aca="false">Inputs!$C$45</f>
        <v>9.8</v>
      </c>
      <c r="O28" s="6" t="n">
        <f aca="false">Inputs!$C$45</f>
        <v>9.8</v>
      </c>
      <c r="P28" s="6" t="n">
        <f aca="false">Inputs!$C$45</f>
        <v>9.8</v>
      </c>
      <c r="Q28" s="6" t="n">
        <f aca="false">Inputs!$C$45</f>
        <v>9.8</v>
      </c>
      <c r="R28" s="6" t="n">
        <f aca="false">Inputs!$C$45</f>
        <v>9.8</v>
      </c>
      <c r="S28" s="6" t="n">
        <f aca="false">Inputs!$C$45</f>
        <v>9.8</v>
      </c>
      <c r="T28" s="6" t="n">
        <f aca="false">Inputs!$C$45</f>
        <v>9.8</v>
      </c>
      <c r="U28" s="6" t="n">
        <f aca="false">Inputs!$C$45</f>
        <v>9.8</v>
      </c>
      <c r="V28" s="6" t="n">
        <f aca="false">Inputs!$C$45</f>
        <v>9.8</v>
      </c>
      <c r="W28" s="6" t="n">
        <f aca="false">Inputs!$C$45</f>
        <v>9.8</v>
      </c>
      <c r="X28" s="31" t="n">
        <v>11.5</v>
      </c>
      <c r="Y28" s="31" t="n">
        <v>8.5</v>
      </c>
      <c r="Z28" s="6" t="n">
        <f aca="false">Inputs!$C$45</f>
        <v>9.8</v>
      </c>
      <c r="AA28" s="6" t="n">
        <f aca="false">Inputs!$C$45</f>
        <v>9.8</v>
      </c>
    </row>
    <row r="29" customFormat="false" ht="15" hidden="false" customHeight="false" outlineLevel="0" collapsed="false">
      <c r="A29" s="2" t="s">
        <v>217</v>
      </c>
      <c r="B29" s="5" t="n">
        <f aca="false">Inputs!$C$46</f>
        <v>120</v>
      </c>
      <c r="C29" s="5" t="n">
        <f aca="false">Inputs!$C$46</f>
        <v>120</v>
      </c>
      <c r="D29" s="5" t="n">
        <f aca="false">Inputs!$C$46</f>
        <v>120</v>
      </c>
      <c r="E29" s="5" t="n">
        <f aca="false">Inputs!$C$46</f>
        <v>120</v>
      </c>
      <c r="F29" s="5" t="n">
        <f aca="false">Inputs!$C$46</f>
        <v>120</v>
      </c>
      <c r="G29" s="5" t="n">
        <f aca="false">Inputs!$C$46</f>
        <v>120</v>
      </c>
      <c r="H29" s="5" t="n">
        <f aca="false">Inputs!$C$46</f>
        <v>120</v>
      </c>
      <c r="I29" s="5" t="n">
        <f aca="false">Inputs!$C$46</f>
        <v>120</v>
      </c>
      <c r="J29" s="5" t="n">
        <f aca="false">Inputs!$C$46</f>
        <v>120</v>
      </c>
      <c r="K29" s="5" t="n">
        <f aca="false">Inputs!$C$46</f>
        <v>120</v>
      </c>
      <c r="L29" s="5" t="n">
        <f aca="false">Inputs!$C$46</f>
        <v>120</v>
      </c>
      <c r="M29" s="5" t="n">
        <f aca="false">Inputs!$C$46</f>
        <v>120</v>
      </c>
      <c r="N29" s="5" t="n">
        <f aca="false">Inputs!$C$46</f>
        <v>120</v>
      </c>
      <c r="O29" s="5" t="n">
        <f aca="false">Inputs!$C$46</f>
        <v>120</v>
      </c>
      <c r="P29" s="5" t="n">
        <f aca="false">Inputs!$C$46</f>
        <v>120</v>
      </c>
      <c r="Q29" s="5" t="n">
        <f aca="false">Inputs!$C$46</f>
        <v>120</v>
      </c>
      <c r="R29" s="5" t="n">
        <f aca="false">Inputs!$C$46</f>
        <v>120</v>
      </c>
      <c r="S29" s="5" t="n">
        <f aca="false">Inputs!$C$46</f>
        <v>120</v>
      </c>
      <c r="T29" s="5" t="n">
        <f aca="false">Inputs!$C$46</f>
        <v>120</v>
      </c>
      <c r="U29" s="5" t="n">
        <f aca="false">Inputs!$C$46</f>
        <v>120</v>
      </c>
      <c r="V29" s="5" t="n">
        <f aca="false">Inputs!$C$46</f>
        <v>120</v>
      </c>
      <c r="W29" s="5" t="n">
        <f aca="false">Inputs!$C$46</f>
        <v>120</v>
      </c>
      <c r="X29" s="5" t="n">
        <f aca="false">Inputs!$C$46</f>
        <v>120</v>
      </c>
      <c r="Y29" s="5" t="n">
        <f aca="false">Inputs!$C$46</f>
        <v>120</v>
      </c>
      <c r="Z29" s="5" t="n">
        <f aca="false">Inputs!$C$46</f>
        <v>120</v>
      </c>
      <c r="AA29" s="5" t="n">
        <f aca="false">Inputs!$C$46</f>
        <v>120</v>
      </c>
    </row>
    <row r="30" customFormat="false" ht="15" hidden="false" customHeight="false" outlineLevel="0" collapsed="false">
      <c r="A30" s="2" t="s">
        <v>219</v>
      </c>
      <c r="B30" s="29" t="n">
        <f aca="false">Inputs!$C$47</f>
        <v>0.25</v>
      </c>
      <c r="C30" s="29" t="n">
        <f aca="false">Inputs!$C$47</f>
        <v>0.25</v>
      </c>
      <c r="D30" s="29" t="n">
        <f aca="false">Inputs!$C$47</f>
        <v>0.25</v>
      </c>
      <c r="E30" s="29" t="n">
        <f aca="false">Inputs!$C$47</f>
        <v>0.25</v>
      </c>
      <c r="F30" s="29" t="n">
        <f aca="false">Inputs!$C$47</f>
        <v>0.25</v>
      </c>
      <c r="G30" s="29" t="n">
        <f aca="false">Inputs!$C$47</f>
        <v>0.25</v>
      </c>
      <c r="H30" s="29" t="n">
        <f aca="false">Inputs!$C$47</f>
        <v>0.25</v>
      </c>
      <c r="I30" s="29" t="n">
        <f aca="false">Inputs!$C$47</f>
        <v>0.25</v>
      </c>
      <c r="J30" s="29" t="n">
        <f aca="false">Inputs!$C$47</f>
        <v>0.25</v>
      </c>
      <c r="K30" s="29" t="n">
        <f aca="false">Inputs!$C$47</f>
        <v>0.25</v>
      </c>
      <c r="L30" s="29" t="n">
        <f aca="false">Inputs!$C$47</f>
        <v>0.25</v>
      </c>
      <c r="M30" s="29" t="n">
        <f aca="false">Inputs!$C$47</f>
        <v>0.25</v>
      </c>
      <c r="N30" s="29" t="n">
        <f aca="false">Inputs!$C$47</f>
        <v>0.25</v>
      </c>
      <c r="O30" s="29" t="n">
        <f aca="false">Inputs!$C$47</f>
        <v>0.25</v>
      </c>
      <c r="P30" s="29" t="n">
        <f aca="false">Inputs!$C$47</f>
        <v>0.25</v>
      </c>
      <c r="Q30" s="29" t="n">
        <f aca="false">Inputs!$C$47</f>
        <v>0.25</v>
      </c>
      <c r="R30" s="29" t="n">
        <f aca="false">Inputs!$C$47</f>
        <v>0.25</v>
      </c>
      <c r="S30" s="29" t="n">
        <f aca="false">Inputs!$C$47</f>
        <v>0.25</v>
      </c>
      <c r="T30" s="29" t="n">
        <f aca="false">Inputs!$C$47</f>
        <v>0.25</v>
      </c>
      <c r="U30" s="29" t="n">
        <f aca="false">Inputs!$C$47</f>
        <v>0.25</v>
      </c>
      <c r="V30" s="29" t="n">
        <f aca="false">Inputs!$C$47</f>
        <v>0.25</v>
      </c>
      <c r="W30" s="29" t="n">
        <f aca="false">Inputs!$C$47</f>
        <v>0.25</v>
      </c>
      <c r="X30" s="29" t="n">
        <f aca="false">Inputs!$C$47</f>
        <v>0.25</v>
      </c>
      <c r="Y30" s="29" t="n">
        <f aca="false">Inputs!$C$47</f>
        <v>0.25</v>
      </c>
      <c r="Z30" s="29" t="n">
        <f aca="false">Inputs!$C$47</f>
        <v>0.25</v>
      </c>
      <c r="AA30" s="29" t="n">
        <f aca="false">Inputs!$C$47</f>
        <v>0.25</v>
      </c>
    </row>
    <row r="31" customFormat="false" ht="15" hidden="false" customHeight="false" outlineLevel="0" collapsed="false">
      <c r="A31" s="2" t="s">
        <v>222</v>
      </c>
      <c r="B31" s="32" t="n">
        <f aca="false">Inputs!$C$48</f>
        <v>1.17584579071597</v>
      </c>
      <c r="C31" s="32" t="n">
        <f aca="false">Inputs!$C$48</f>
        <v>1.17584579071597</v>
      </c>
      <c r="D31" s="32" t="n">
        <f aca="false">Inputs!$C$48</f>
        <v>1.17584579071597</v>
      </c>
      <c r="E31" s="32" t="n">
        <f aca="false">Inputs!$C$48</f>
        <v>1.17584579071597</v>
      </c>
      <c r="F31" s="32" t="n">
        <f aca="false">Inputs!$C$48</f>
        <v>1.17584579071597</v>
      </c>
      <c r="G31" s="32" t="n">
        <f aca="false">Inputs!$C$48</f>
        <v>1.17584579071597</v>
      </c>
      <c r="H31" s="32" t="n">
        <f aca="false">Inputs!$C$48</f>
        <v>1.17584579071597</v>
      </c>
      <c r="I31" s="32" t="n">
        <f aca="false">Inputs!$C$48</f>
        <v>1.17584579071597</v>
      </c>
      <c r="J31" s="32" t="n">
        <f aca="false">Inputs!$C$48</f>
        <v>1.17584579071597</v>
      </c>
      <c r="K31" s="32" t="n">
        <f aca="false">Inputs!$C$48</f>
        <v>1.17584579071597</v>
      </c>
      <c r="L31" s="32" t="n">
        <f aca="false">Inputs!$C$48</f>
        <v>1.17584579071597</v>
      </c>
      <c r="M31" s="32" t="n">
        <f aca="false">Inputs!$C$48</f>
        <v>1.17584579071597</v>
      </c>
      <c r="N31" s="32" t="n">
        <f aca="false">Inputs!$C$48</f>
        <v>1.17584579071597</v>
      </c>
      <c r="O31" s="32" t="n">
        <f aca="false">Inputs!$C$48</f>
        <v>1.17584579071597</v>
      </c>
      <c r="P31" s="32" t="n">
        <f aca="false">Inputs!$C$48</f>
        <v>1.17584579071597</v>
      </c>
      <c r="Q31" s="32" t="n">
        <f aca="false">Inputs!$C$48</f>
        <v>1.17584579071597</v>
      </c>
      <c r="R31" s="32" t="n">
        <f aca="false">Inputs!$C$48</f>
        <v>1.17584579071597</v>
      </c>
      <c r="S31" s="32" t="n">
        <f aca="false">Inputs!$C$48</f>
        <v>1.17584579071597</v>
      </c>
      <c r="T31" s="32" t="n">
        <f aca="false">Inputs!$C$48</f>
        <v>1.17584579071597</v>
      </c>
      <c r="U31" s="32" t="n">
        <f aca="false">Inputs!$C$48</f>
        <v>1.17584579071597</v>
      </c>
      <c r="V31" s="32" t="n">
        <f aca="false">Inputs!$C$48</f>
        <v>1.17584579071597</v>
      </c>
      <c r="W31" s="32" t="n">
        <f aca="false">Inputs!$C$48</f>
        <v>1.17584579071597</v>
      </c>
      <c r="X31" s="32" t="n">
        <f aca="false">Inputs!$C$48</f>
        <v>1.17584579071597</v>
      </c>
      <c r="Y31" s="32" t="n">
        <f aca="false">Inputs!$C$48</f>
        <v>1.17584579071597</v>
      </c>
      <c r="Z31" s="32" t="n">
        <f aca="false">Inputs!$C$48</f>
        <v>1.17584579071597</v>
      </c>
      <c r="AA31" s="32" t="n">
        <f aca="false">Inputs!$C$48</f>
        <v>1.17584579071597</v>
      </c>
    </row>
    <row r="32" customFormat="false" ht="15" hidden="false" customHeight="false" outlineLevel="0" collapsed="false">
      <c r="A32" s="2" t="s">
        <v>226</v>
      </c>
      <c r="B32" s="32" t="n">
        <f aca="false">Inputs!$C$49</f>
        <v>7</v>
      </c>
      <c r="C32" s="32" t="n">
        <f aca="false">Inputs!$C$49</f>
        <v>7</v>
      </c>
      <c r="D32" s="32" t="n">
        <f aca="false">Inputs!$C$49</f>
        <v>7</v>
      </c>
      <c r="E32" s="32" t="n">
        <f aca="false">Inputs!$C$49</f>
        <v>7</v>
      </c>
      <c r="F32" s="32" t="n">
        <f aca="false">Inputs!$C$49</f>
        <v>7</v>
      </c>
      <c r="G32" s="32" t="n">
        <f aca="false">Inputs!$C$49</f>
        <v>7</v>
      </c>
      <c r="H32" s="32" t="n">
        <f aca="false">Inputs!$C$49</f>
        <v>7</v>
      </c>
      <c r="I32" s="32" t="n">
        <f aca="false">Inputs!$C$49</f>
        <v>7</v>
      </c>
      <c r="J32" s="32" t="n">
        <f aca="false">Inputs!$C$49</f>
        <v>7</v>
      </c>
      <c r="K32" s="32" t="n">
        <f aca="false">Inputs!$C$49</f>
        <v>7</v>
      </c>
      <c r="L32" s="32" t="n">
        <f aca="false">Inputs!$C$49</f>
        <v>7</v>
      </c>
      <c r="M32" s="32" t="n">
        <f aca="false">Inputs!$C$49</f>
        <v>7</v>
      </c>
      <c r="N32" s="32" t="n">
        <f aca="false">Inputs!$C$49</f>
        <v>7</v>
      </c>
      <c r="O32" s="32" t="n">
        <f aca="false">Inputs!$C$49</f>
        <v>7</v>
      </c>
      <c r="P32" s="32" t="n">
        <f aca="false">Inputs!$C$49</f>
        <v>7</v>
      </c>
      <c r="Q32" s="32" t="n">
        <f aca="false">Inputs!$C$49</f>
        <v>7</v>
      </c>
      <c r="R32" s="32" t="n">
        <f aca="false">Inputs!$C$49</f>
        <v>7</v>
      </c>
      <c r="S32" s="32" t="n">
        <f aca="false">Inputs!$C$49</f>
        <v>7</v>
      </c>
      <c r="T32" s="32" t="n">
        <f aca="false">Inputs!$C$49</f>
        <v>7</v>
      </c>
      <c r="U32" s="32" t="n">
        <f aca="false">Inputs!$C$49</f>
        <v>7</v>
      </c>
      <c r="V32" s="32" t="n">
        <f aca="false">Inputs!$C$49</f>
        <v>7</v>
      </c>
      <c r="W32" s="32" t="n">
        <f aca="false">Inputs!$C$49</f>
        <v>7</v>
      </c>
      <c r="X32" s="32" t="n">
        <f aca="false">Inputs!$C$49</f>
        <v>7</v>
      </c>
      <c r="Y32" s="32" t="n">
        <f aca="false">Inputs!$C$49</f>
        <v>7</v>
      </c>
      <c r="Z32" s="32" t="n">
        <f aca="false">Inputs!$C$49</f>
        <v>7</v>
      </c>
      <c r="AA32" s="32" t="n">
        <f aca="false">Inputs!$C$49</f>
        <v>7</v>
      </c>
    </row>
    <row r="33" customFormat="false" ht="15" hidden="false" customHeight="false" outlineLevel="0" collapsed="false">
      <c r="A33" s="2" t="s">
        <v>230</v>
      </c>
      <c r="B33" s="5" t="n">
        <f aca="false">Inputs!$C$50</f>
        <v>0</v>
      </c>
      <c r="C33" s="33" t="n">
        <v>8000</v>
      </c>
      <c r="D33" s="5" t="n">
        <f aca="false">Inputs!$C$50</f>
        <v>0</v>
      </c>
      <c r="E33" s="5" t="n">
        <f aca="false">Inputs!$C$50</f>
        <v>0</v>
      </c>
      <c r="F33" s="33" t="n">
        <v>7750</v>
      </c>
      <c r="G33" s="33" t="n">
        <v>8250</v>
      </c>
      <c r="H33" s="5" t="n">
        <f aca="false">Inputs!$C$50</f>
        <v>0</v>
      </c>
      <c r="I33" s="5" t="n">
        <f aca="false">Inputs!$C$50</f>
        <v>0</v>
      </c>
      <c r="J33" s="5" t="n">
        <f aca="false">Inputs!$C$50</f>
        <v>0</v>
      </c>
      <c r="K33" s="5" t="n">
        <f aca="false">Inputs!$C$50</f>
        <v>0</v>
      </c>
      <c r="L33" s="5" t="n">
        <f aca="false">Inputs!$C$50</f>
        <v>0</v>
      </c>
      <c r="M33" s="5" t="n">
        <f aca="false">Inputs!$C$50</f>
        <v>0</v>
      </c>
      <c r="N33" s="5" t="n">
        <f aca="false">Inputs!$C$50</f>
        <v>0</v>
      </c>
      <c r="O33" s="5" t="n">
        <f aca="false">Inputs!$C$50</f>
        <v>0</v>
      </c>
      <c r="P33" s="5" t="n">
        <f aca="false">Inputs!$C$50</f>
        <v>0</v>
      </c>
      <c r="Q33" s="5" t="n">
        <f aca="false">Inputs!$C$50</f>
        <v>0</v>
      </c>
      <c r="R33" s="5" t="n">
        <f aca="false">Inputs!$C$50</f>
        <v>0</v>
      </c>
      <c r="S33" s="5" t="n">
        <f aca="false">Inputs!$C$50</f>
        <v>0</v>
      </c>
      <c r="T33" s="5" t="n">
        <f aca="false">Inputs!$C$50</f>
        <v>0</v>
      </c>
      <c r="U33" s="5" t="n">
        <f aca="false">Inputs!$C$50</f>
        <v>0</v>
      </c>
      <c r="V33" s="5" t="n">
        <f aca="false">Inputs!$C$50</f>
        <v>0</v>
      </c>
      <c r="W33" s="5" t="n">
        <f aca="false">Inputs!$C$50</f>
        <v>0</v>
      </c>
      <c r="X33" s="5" t="n">
        <f aca="false">Inputs!$C$50</f>
        <v>0</v>
      </c>
      <c r="Y33" s="5" t="n">
        <f aca="false">Inputs!$C$50</f>
        <v>0</v>
      </c>
      <c r="Z33" s="5" t="n">
        <f aca="false">Inputs!$C$50</f>
        <v>0</v>
      </c>
      <c r="AA33" s="5" t="n">
        <f aca="false">Inputs!$C$50</f>
        <v>0</v>
      </c>
    </row>
    <row r="34" customFormat="false" ht="15" hidden="false" customHeight="false" outlineLevel="0" collapsed="false">
      <c r="A34" s="2" t="s">
        <v>235</v>
      </c>
      <c r="B34" s="6" t="n">
        <f aca="false">Inputs!$C$52</f>
        <v>3</v>
      </c>
      <c r="C34" s="6" t="n">
        <f aca="false">Inputs!$C$52</f>
        <v>3</v>
      </c>
      <c r="D34" s="6" t="n">
        <f aca="false">Inputs!$C$52</f>
        <v>3</v>
      </c>
      <c r="E34" s="6" t="n">
        <f aca="false">Inputs!$C$52</f>
        <v>3</v>
      </c>
      <c r="F34" s="6" t="n">
        <f aca="false">Inputs!$C$52</f>
        <v>3</v>
      </c>
      <c r="G34" s="6" t="n">
        <f aca="false">Inputs!$C$52</f>
        <v>3</v>
      </c>
      <c r="H34" s="6" t="n">
        <f aca="false">Inputs!$C$52</f>
        <v>3</v>
      </c>
      <c r="I34" s="6" t="n">
        <f aca="false">Inputs!$C$52</f>
        <v>3</v>
      </c>
      <c r="J34" s="6" t="n">
        <f aca="false">Inputs!$C$52</f>
        <v>3</v>
      </c>
      <c r="K34" s="6" t="n">
        <f aca="false">Inputs!$C$52</f>
        <v>3</v>
      </c>
      <c r="L34" s="6" t="n">
        <f aca="false">Inputs!$C$52</f>
        <v>3</v>
      </c>
      <c r="M34" s="6" t="n">
        <f aca="false">Inputs!$C$52</f>
        <v>3</v>
      </c>
      <c r="N34" s="6" t="n">
        <f aca="false">Inputs!$C$52</f>
        <v>3</v>
      </c>
      <c r="O34" s="6" t="n">
        <f aca="false">Inputs!$C$52</f>
        <v>3</v>
      </c>
      <c r="P34" s="6" t="n">
        <f aca="false">Inputs!$C$52</f>
        <v>3</v>
      </c>
      <c r="Q34" s="6" t="n">
        <f aca="false">Inputs!$C$52</f>
        <v>3</v>
      </c>
      <c r="R34" s="6" t="n">
        <f aca="false">Inputs!$C$52</f>
        <v>3</v>
      </c>
      <c r="S34" s="6" t="n">
        <f aca="false">Inputs!$C$52</f>
        <v>3</v>
      </c>
      <c r="T34" s="6" t="n">
        <f aca="false">Inputs!$C$52</f>
        <v>3</v>
      </c>
      <c r="U34" s="6" t="n">
        <f aca="false">Inputs!$C$52</f>
        <v>3</v>
      </c>
      <c r="V34" s="6" t="n">
        <f aca="false">Inputs!$C$52</f>
        <v>3</v>
      </c>
      <c r="W34" s="6" t="n">
        <f aca="false">Inputs!$C$52</f>
        <v>3</v>
      </c>
      <c r="X34" s="6" t="n">
        <f aca="false">Inputs!$C$52</f>
        <v>3</v>
      </c>
      <c r="Y34" s="6" t="n">
        <f aca="false">Inputs!$C$52</f>
        <v>3</v>
      </c>
      <c r="Z34" s="31" t="n">
        <v>2.9</v>
      </c>
      <c r="AA34" s="31" t="n">
        <v>3.1</v>
      </c>
    </row>
    <row r="35" customFormat="false" ht="15" hidden="false" customHeight="false" outlineLevel="0" collapsed="false">
      <c r="A35" s="2" t="s">
        <v>240</v>
      </c>
      <c r="B35" s="6" t="n">
        <f aca="false">Inputs!$C$53</f>
        <v>3</v>
      </c>
      <c r="C35" s="6" t="n">
        <f aca="false">Inputs!$C$53</f>
        <v>3</v>
      </c>
      <c r="D35" s="6" t="n">
        <f aca="false">Inputs!$C$53</f>
        <v>3</v>
      </c>
      <c r="E35" s="6" t="n">
        <f aca="false">Inputs!$C$53</f>
        <v>3</v>
      </c>
      <c r="F35" s="6" t="n">
        <f aca="false">Inputs!$C$53</f>
        <v>3</v>
      </c>
      <c r="G35" s="6" t="n">
        <f aca="false">Inputs!$C$53</f>
        <v>3</v>
      </c>
      <c r="H35" s="6" t="n">
        <f aca="false">Inputs!$C$53</f>
        <v>3</v>
      </c>
      <c r="I35" s="6" t="n">
        <f aca="false">Inputs!$C$53</f>
        <v>3</v>
      </c>
      <c r="J35" s="6" t="n">
        <f aca="false">Inputs!$C$53</f>
        <v>3</v>
      </c>
      <c r="K35" s="6" t="n">
        <f aca="false">Inputs!$C$53</f>
        <v>3</v>
      </c>
      <c r="L35" s="6" t="n">
        <f aca="false">Inputs!$C$53</f>
        <v>3</v>
      </c>
      <c r="M35" s="6" t="n">
        <f aca="false">Inputs!$C$53</f>
        <v>3</v>
      </c>
      <c r="N35" s="6" t="n">
        <f aca="false">Inputs!$C$53</f>
        <v>3</v>
      </c>
      <c r="O35" s="6" t="n">
        <f aca="false">Inputs!$C$53</f>
        <v>3</v>
      </c>
      <c r="P35" s="6" t="n">
        <f aca="false">Inputs!$C$53</f>
        <v>3</v>
      </c>
      <c r="Q35" s="6" t="n">
        <f aca="false">Inputs!$C$53</f>
        <v>3</v>
      </c>
      <c r="R35" s="6" t="n">
        <f aca="false">Inputs!$C$53</f>
        <v>3</v>
      </c>
      <c r="S35" s="6" t="n">
        <f aca="false">Inputs!$C$53</f>
        <v>3</v>
      </c>
      <c r="T35" s="6" t="n">
        <f aca="false">Inputs!$C$53</f>
        <v>3</v>
      </c>
      <c r="U35" s="6" t="n">
        <f aca="false">Inputs!$C$53</f>
        <v>3</v>
      </c>
      <c r="V35" s="6" t="n">
        <f aca="false">Inputs!$C$53</f>
        <v>3</v>
      </c>
      <c r="W35" s="6" t="n">
        <f aca="false">Inputs!$C$53</f>
        <v>3</v>
      </c>
      <c r="X35" s="6" t="n">
        <f aca="false">Inputs!$C$53</f>
        <v>3</v>
      </c>
      <c r="Y35" s="6" t="n">
        <f aca="false">Inputs!$C$53</f>
        <v>3</v>
      </c>
      <c r="Z35" s="6" t="n">
        <f aca="false">Inputs!$C$53</f>
        <v>3</v>
      </c>
      <c r="AA35" s="6" t="n">
        <f aca="false">Inputs!$C$53</f>
        <v>3</v>
      </c>
    </row>
    <row r="36" customFormat="false" ht="15" hidden="false" customHeight="false" outlineLevel="0" collapsed="false">
      <c r="A36" s="2" t="s">
        <v>243</v>
      </c>
      <c r="B36" s="6" t="n">
        <f aca="false">Inputs!$C$54</f>
        <v>10</v>
      </c>
      <c r="C36" s="6" t="n">
        <f aca="false">Inputs!$C$54</f>
        <v>10</v>
      </c>
      <c r="D36" s="6" t="n">
        <f aca="false">Inputs!$C$54</f>
        <v>10</v>
      </c>
      <c r="E36" s="6" t="n">
        <f aca="false">Inputs!$C$54</f>
        <v>10</v>
      </c>
      <c r="F36" s="6" t="n">
        <f aca="false">Inputs!$C$54</f>
        <v>10</v>
      </c>
      <c r="G36" s="6" t="n">
        <f aca="false">Inputs!$C$54</f>
        <v>10</v>
      </c>
      <c r="H36" s="6" t="n">
        <f aca="false">Inputs!$C$54</f>
        <v>10</v>
      </c>
      <c r="I36" s="6" t="n">
        <f aca="false">Inputs!$C$54</f>
        <v>10</v>
      </c>
      <c r="J36" s="6" t="n">
        <f aca="false">Inputs!$C$54</f>
        <v>10</v>
      </c>
      <c r="K36" s="6" t="n">
        <f aca="false">Inputs!$C$54</f>
        <v>10</v>
      </c>
      <c r="L36" s="6" t="n">
        <f aca="false">Inputs!$C$54</f>
        <v>10</v>
      </c>
      <c r="M36" s="6" t="n">
        <f aca="false">Inputs!$C$54</f>
        <v>10</v>
      </c>
      <c r="N36" s="6" t="n">
        <f aca="false">Inputs!$C$54</f>
        <v>10</v>
      </c>
      <c r="O36" s="6" t="n">
        <f aca="false">Inputs!$C$54</f>
        <v>10</v>
      </c>
      <c r="P36" s="6" t="n">
        <f aca="false">Inputs!$C$54</f>
        <v>10</v>
      </c>
      <c r="Q36" s="6" t="n">
        <f aca="false">Inputs!$C$54</f>
        <v>10</v>
      </c>
      <c r="R36" s="6" t="n">
        <f aca="false">Inputs!$C$54</f>
        <v>10</v>
      </c>
      <c r="S36" s="6" t="n">
        <f aca="false">Inputs!$C$54</f>
        <v>10</v>
      </c>
      <c r="T36" s="6" t="n">
        <f aca="false">Inputs!$C$54</f>
        <v>10</v>
      </c>
      <c r="U36" s="6" t="n">
        <f aca="false">Inputs!$C$54</f>
        <v>10</v>
      </c>
      <c r="V36" s="31" t="n">
        <v>8</v>
      </c>
      <c r="W36" s="31" t="n">
        <v>12</v>
      </c>
      <c r="X36" s="6" t="n">
        <f aca="false">Inputs!$C$54</f>
        <v>10</v>
      </c>
      <c r="Y36" s="6" t="n">
        <f aca="false">Inputs!$C$54</f>
        <v>10</v>
      </c>
      <c r="Z36" s="6" t="n">
        <f aca="false">Inputs!$C$54</f>
        <v>10</v>
      </c>
      <c r="AA36" s="6" t="n">
        <f aca="false">Inputs!$C$54</f>
        <v>10</v>
      </c>
    </row>
    <row r="37" customFormat="false" ht="15" hidden="false" customHeight="false" outlineLevel="0" collapsed="false">
      <c r="A37" s="2" t="s">
        <v>246</v>
      </c>
      <c r="B37" s="29" t="n">
        <f aca="false">Inputs!$C$55</f>
        <v>0</v>
      </c>
      <c r="C37" s="29" t="n">
        <f aca="false">Inputs!$C$55</f>
        <v>0</v>
      </c>
      <c r="D37" s="29" t="n">
        <f aca="false">Inputs!$C$55</f>
        <v>0</v>
      </c>
      <c r="E37" s="30" t="n">
        <v>1</v>
      </c>
      <c r="F37" s="29" t="n">
        <f aca="false">Inputs!$C$55</f>
        <v>0</v>
      </c>
      <c r="G37" s="29" t="n">
        <f aca="false">Inputs!$C$55</f>
        <v>0</v>
      </c>
      <c r="H37" s="29" t="n">
        <f aca="false">Inputs!$C$55</f>
        <v>0</v>
      </c>
      <c r="I37" s="29" t="n">
        <f aca="false">Inputs!$C$55</f>
        <v>0</v>
      </c>
      <c r="J37" s="29" t="n">
        <f aca="false">Inputs!$C$55</f>
        <v>0</v>
      </c>
      <c r="K37" s="29" t="n">
        <f aca="false">Inputs!$C$55</f>
        <v>0</v>
      </c>
      <c r="L37" s="29" t="n">
        <f aca="false">Inputs!$C$55</f>
        <v>0</v>
      </c>
      <c r="M37" s="29" t="n">
        <f aca="false">Inputs!$C$55</f>
        <v>0</v>
      </c>
      <c r="N37" s="29" t="n">
        <f aca="false">Inputs!$C$55</f>
        <v>0</v>
      </c>
      <c r="O37" s="29" t="n">
        <f aca="false">Inputs!$C$55</f>
        <v>0</v>
      </c>
      <c r="P37" s="29" t="n">
        <f aca="false">Inputs!$C$55</f>
        <v>0</v>
      </c>
      <c r="Q37" s="29" t="n">
        <f aca="false">Inputs!$C$55</f>
        <v>0</v>
      </c>
      <c r="R37" s="29" t="n">
        <f aca="false">Inputs!$C$55</f>
        <v>0</v>
      </c>
      <c r="S37" s="29" t="n">
        <f aca="false">Inputs!$C$55</f>
        <v>0</v>
      </c>
      <c r="T37" s="30" t="n">
        <v>0</v>
      </c>
      <c r="U37" s="30" t="n">
        <v>1</v>
      </c>
      <c r="V37" s="29" t="n">
        <f aca="false">Inputs!$C$55</f>
        <v>0</v>
      </c>
      <c r="W37" s="29" t="n">
        <f aca="false">Inputs!$C$55</f>
        <v>0</v>
      </c>
      <c r="X37" s="29" t="n">
        <f aca="false">Inputs!$C$55</f>
        <v>0</v>
      </c>
      <c r="Y37" s="29" t="n">
        <f aca="false">Inputs!$C$55</f>
        <v>0</v>
      </c>
      <c r="Z37" s="29" t="n">
        <f aca="false">Inputs!$C$55</f>
        <v>0</v>
      </c>
      <c r="AA37" s="29" t="n">
        <f aca="false">Inputs!$C$55</f>
        <v>0</v>
      </c>
    </row>
    <row r="38" customFormat="false" ht="15" hidden="false" customHeight="false" outlineLevel="0" collapsed="false">
      <c r="A38" s="2" t="s">
        <v>249</v>
      </c>
      <c r="B38" s="5" t="n">
        <f aca="false">Inputs!$C$56</f>
        <v>0</v>
      </c>
      <c r="C38" s="5" t="n">
        <f aca="false">Inputs!$C$56</f>
        <v>0</v>
      </c>
      <c r="D38" s="5" t="n">
        <f aca="false">Inputs!$C$56</f>
        <v>0</v>
      </c>
      <c r="E38" s="5" t="n">
        <f aca="false">Inputs!$C$56</f>
        <v>0</v>
      </c>
      <c r="F38" s="5" t="n">
        <f aca="false">Inputs!$C$56</f>
        <v>0</v>
      </c>
      <c r="G38" s="5" t="n">
        <f aca="false">Inputs!$C$56</f>
        <v>0</v>
      </c>
      <c r="H38" s="5" t="n">
        <f aca="false">Inputs!$C$56</f>
        <v>0</v>
      </c>
      <c r="I38" s="5" t="n">
        <f aca="false">Inputs!$C$56</f>
        <v>0</v>
      </c>
      <c r="J38" s="5" t="n">
        <f aca="false">Inputs!$C$56</f>
        <v>0</v>
      </c>
      <c r="K38" s="5" t="n">
        <f aca="false">Inputs!$C$56</f>
        <v>0</v>
      </c>
      <c r="L38" s="5" t="n">
        <f aca="false">Inputs!$C$56</f>
        <v>0</v>
      </c>
      <c r="M38" s="5" t="n">
        <f aca="false">Inputs!$C$56</f>
        <v>0</v>
      </c>
      <c r="N38" s="5" t="n">
        <f aca="false">Inputs!$C$56</f>
        <v>0</v>
      </c>
      <c r="O38" s="5" t="n">
        <f aca="false">Inputs!$C$56</f>
        <v>0</v>
      </c>
      <c r="P38" s="5" t="n">
        <f aca="false">Inputs!$C$56</f>
        <v>0</v>
      </c>
      <c r="Q38" s="5" t="n">
        <f aca="false">Inputs!$C$56</f>
        <v>0</v>
      </c>
      <c r="R38" s="5" t="n">
        <f aca="false">Inputs!$C$56</f>
        <v>0</v>
      </c>
      <c r="S38" s="5" t="n">
        <f aca="false">Inputs!$C$56</f>
        <v>0</v>
      </c>
      <c r="T38" s="5" t="n">
        <f aca="false">Inputs!$C$56</f>
        <v>0</v>
      </c>
      <c r="U38" s="5" t="n">
        <f aca="false">Inputs!$C$56</f>
        <v>0</v>
      </c>
      <c r="V38" s="5" t="n">
        <f aca="false">Inputs!$C$56</f>
        <v>0</v>
      </c>
      <c r="W38" s="5" t="n">
        <f aca="false">Inputs!$C$56</f>
        <v>0</v>
      </c>
      <c r="X38" s="5" t="n">
        <f aca="false">Inputs!$C$56</f>
        <v>0</v>
      </c>
      <c r="Y38" s="5" t="n">
        <f aca="false">Inputs!$C$56</f>
        <v>0</v>
      </c>
      <c r="Z38" s="5" t="n">
        <f aca="false">Inputs!$C$56</f>
        <v>0</v>
      </c>
      <c r="AA38" s="5" t="n">
        <f aca="false">Inputs!$C$56</f>
        <v>0</v>
      </c>
    </row>
    <row r="39" customFormat="false" ht="15" hidden="false" customHeight="false" outlineLevel="0" collapsed="false">
      <c r="A39" s="2" t="s">
        <v>252</v>
      </c>
      <c r="B39" s="5" t="n">
        <f aca="false">Inputs!$C$57</f>
        <v>0</v>
      </c>
      <c r="C39" s="5" t="n">
        <f aca="false">Inputs!$C$57</f>
        <v>0</v>
      </c>
      <c r="D39" s="33" t="n">
        <v>300</v>
      </c>
      <c r="E39" s="5" t="n">
        <f aca="false">Inputs!$C$57</f>
        <v>0</v>
      </c>
      <c r="F39" s="5" t="n">
        <f aca="false">Inputs!$C$57</f>
        <v>0</v>
      </c>
      <c r="G39" s="5" t="n">
        <f aca="false">Inputs!$C$57</f>
        <v>0</v>
      </c>
      <c r="H39" s="5" t="n">
        <f aca="false">Inputs!$C$57</f>
        <v>0</v>
      </c>
      <c r="I39" s="5" t="n">
        <f aca="false">Inputs!$C$57</f>
        <v>0</v>
      </c>
      <c r="J39" s="5" t="n">
        <f aca="false">Inputs!$C$57</f>
        <v>0</v>
      </c>
      <c r="K39" s="5" t="n">
        <f aca="false">Inputs!$C$57</f>
        <v>0</v>
      </c>
      <c r="L39" s="5" t="n">
        <f aca="false">Inputs!$C$57</f>
        <v>0</v>
      </c>
      <c r="M39" s="5" t="n">
        <f aca="false">Inputs!$C$57</f>
        <v>0</v>
      </c>
      <c r="N39" s="5" t="n">
        <f aca="false">Inputs!$C$57</f>
        <v>0</v>
      </c>
      <c r="O39" s="5" t="n">
        <f aca="false">Inputs!$C$57</f>
        <v>0</v>
      </c>
      <c r="P39" s="5" t="n">
        <f aca="false">Inputs!$C$57</f>
        <v>0</v>
      </c>
      <c r="Q39" s="5" t="n">
        <f aca="false">Inputs!$C$57</f>
        <v>0</v>
      </c>
      <c r="R39" s="33" t="n">
        <v>400</v>
      </c>
      <c r="S39" s="33" t="n">
        <v>-400</v>
      </c>
      <c r="T39" s="5" t="n">
        <f aca="false">Inputs!$C$57</f>
        <v>0</v>
      </c>
      <c r="U39" s="5" t="n">
        <f aca="false">Inputs!$C$57</f>
        <v>0</v>
      </c>
      <c r="V39" s="5" t="n">
        <f aca="false">Inputs!$C$57</f>
        <v>0</v>
      </c>
      <c r="W39" s="5" t="n">
        <f aca="false">Inputs!$C$57</f>
        <v>0</v>
      </c>
      <c r="X39" s="5" t="n">
        <f aca="false">Inputs!$C$57</f>
        <v>0</v>
      </c>
      <c r="Y39" s="5" t="n">
        <f aca="false">Inputs!$C$57</f>
        <v>0</v>
      </c>
      <c r="Z39" s="5" t="n">
        <f aca="false">Inputs!$C$57</f>
        <v>0</v>
      </c>
      <c r="AA39" s="5" t="n">
        <f aca="false">Inputs!$C$57</f>
        <v>0</v>
      </c>
    </row>
    <row r="41" customFormat="false" ht="15" hidden="false" customHeight="false" outlineLevel="0" collapsed="false">
      <c r="A41" s="3" t="s">
        <v>402</v>
      </c>
    </row>
    <row r="42" customFormat="false" ht="15" hidden="false" customHeight="false" outlineLevel="0" collapsed="false">
      <c r="A42" s="2" t="s">
        <v>403</v>
      </c>
      <c r="B42" s="14" t="n">
        <f aca="false">(B27/B28-B29)/B31</f>
        <v>161.759376216194</v>
      </c>
      <c r="C42" s="14" t="n">
        <f aca="false">(C27/C28-C29)/C31</f>
        <v>161.759376216194</v>
      </c>
      <c r="D42" s="14" t="n">
        <f aca="false">(D27/D28-D29)/D31</f>
        <v>161.759376216194</v>
      </c>
      <c r="E42" s="14" t="n">
        <f aca="false">(E27/E28-E29)/E31</f>
        <v>161.759376216194</v>
      </c>
      <c r="F42" s="14" t="n">
        <f aca="false">(F27/F28-F29)/F31</f>
        <v>161.759376216194</v>
      </c>
      <c r="G42" s="14" t="n">
        <f aca="false">(G27/G28-G29)/G31</f>
        <v>161.759376216194</v>
      </c>
      <c r="H42" s="14" t="n">
        <f aca="false">(H27/H28-H29)/H31</f>
        <v>161.759376216194</v>
      </c>
      <c r="I42" s="14" t="n">
        <f aca="false">(I27/I28-I29)/I31</f>
        <v>161.759376216194</v>
      </c>
      <c r="J42" s="14" t="n">
        <f aca="false">(J27/J28-J29)/J31</f>
        <v>161.759376216194</v>
      </c>
      <c r="K42" s="14" t="n">
        <f aca="false">(K27/K28-K29)/K31</f>
        <v>161.759376216194</v>
      </c>
      <c r="L42" s="14" t="n">
        <f aca="false">(L27/L28-L29)/L31</f>
        <v>161.759376216194</v>
      </c>
      <c r="M42" s="14" t="n">
        <f aca="false">(M27/M28-M29)/M31</f>
        <v>161.759376216194</v>
      </c>
      <c r="N42" s="14" t="n">
        <f aca="false">(N27/N28-N29)/N31</f>
        <v>161.759376216194</v>
      </c>
      <c r="O42" s="14" t="n">
        <f aca="false">(O27/O28-O29)/O31</f>
        <v>161.759376216194</v>
      </c>
      <c r="P42" s="14" t="n">
        <f aca="false">(P27/P28-P29)/P31</f>
        <v>161.759376216194</v>
      </c>
      <c r="Q42" s="14" t="n">
        <f aca="false">(Q27/Q28-Q29)/Q31</f>
        <v>161.759376216194</v>
      </c>
      <c r="R42" s="14" t="n">
        <f aca="false">(R27/R28-R29)/R31</f>
        <v>161.759376216194</v>
      </c>
      <c r="S42" s="14" t="n">
        <f aca="false">(S27/S28-S29)/S31</f>
        <v>161.759376216194</v>
      </c>
      <c r="T42" s="14" t="n">
        <f aca="false">(T27/T28-T29)/T31</f>
        <v>161.759376216194</v>
      </c>
      <c r="U42" s="14" t="n">
        <f aca="false">(U27/U28-U29)/U31</f>
        <v>161.759376216194</v>
      </c>
      <c r="V42" s="14" t="n">
        <f aca="false">(V27/V28-V29)/V31</f>
        <v>161.759376216194</v>
      </c>
      <c r="W42" s="14" t="n">
        <f aca="false">(W27/W28-W29)/W31</f>
        <v>161.759376216194</v>
      </c>
      <c r="X42" s="14" t="n">
        <f aca="false">(X27/X28-X29)/X31</f>
        <v>122.760847746083</v>
      </c>
      <c r="Y42" s="14" t="n">
        <f aca="false">(Y27/Y28-Y29)/Y31</f>
        <v>202.107334737174</v>
      </c>
      <c r="Z42" s="14" t="n">
        <f aca="false">(Z27/Z28-Z29)/Z31</f>
        <v>161.759376216194</v>
      </c>
      <c r="AA42" s="14" t="n">
        <f aca="false">(AA27/AA28-AA29)/AA31</f>
        <v>161.759376216194</v>
      </c>
    </row>
    <row r="43" customFormat="false" ht="15" hidden="false" customHeight="false" outlineLevel="0" collapsed="false">
      <c r="A43" s="2" t="s">
        <v>404</v>
      </c>
      <c r="B43" s="14" t="n">
        <f aca="false">B29*B30/B31</f>
        <v>25.513549682168</v>
      </c>
      <c r="C43" s="14" t="n">
        <f aca="false">C29*C30/C31</f>
        <v>25.513549682168</v>
      </c>
      <c r="D43" s="14" t="n">
        <f aca="false">D29*D30/D31</f>
        <v>25.513549682168</v>
      </c>
      <c r="E43" s="14" t="n">
        <f aca="false">E29*E30/E31</f>
        <v>25.513549682168</v>
      </c>
      <c r="F43" s="14" t="n">
        <f aca="false">F29*F30/F31</f>
        <v>25.513549682168</v>
      </c>
      <c r="G43" s="14" t="n">
        <f aca="false">G29*G30/G31</f>
        <v>25.513549682168</v>
      </c>
      <c r="H43" s="14" t="n">
        <f aca="false">H29*H30/H31</f>
        <v>25.513549682168</v>
      </c>
      <c r="I43" s="14" t="n">
        <f aca="false">I29*I30/I31</f>
        <v>25.513549682168</v>
      </c>
      <c r="J43" s="14" t="n">
        <f aca="false">J29*J30/J31</f>
        <v>25.513549682168</v>
      </c>
      <c r="K43" s="14" t="n">
        <f aca="false">K29*K30/K31</f>
        <v>25.513549682168</v>
      </c>
      <c r="L43" s="14" t="n">
        <f aca="false">L29*L30/L31</f>
        <v>25.513549682168</v>
      </c>
      <c r="M43" s="14" t="n">
        <f aca="false">M29*M30/M31</f>
        <v>25.513549682168</v>
      </c>
      <c r="N43" s="14" t="n">
        <f aca="false">N29*N30/N31</f>
        <v>25.513549682168</v>
      </c>
      <c r="O43" s="14" t="n">
        <f aca="false">O29*O30/O31</f>
        <v>25.513549682168</v>
      </c>
      <c r="P43" s="14" t="n">
        <f aca="false">P29*P30/P31</f>
        <v>25.513549682168</v>
      </c>
      <c r="Q43" s="14" t="n">
        <f aca="false">Q29*Q30/Q31</f>
        <v>25.513549682168</v>
      </c>
      <c r="R43" s="14" t="n">
        <f aca="false">R29*R30/R31</f>
        <v>25.513549682168</v>
      </c>
      <c r="S43" s="14" t="n">
        <f aca="false">S29*S30/S31</f>
        <v>25.513549682168</v>
      </c>
      <c r="T43" s="14" t="n">
        <f aca="false">T29*T30/T31</f>
        <v>25.513549682168</v>
      </c>
      <c r="U43" s="14" t="n">
        <f aca="false">U29*U30/U31</f>
        <v>25.513549682168</v>
      </c>
      <c r="V43" s="14" t="n">
        <f aca="false">V29*V30/V31</f>
        <v>25.513549682168</v>
      </c>
      <c r="W43" s="14" t="n">
        <f aca="false">W29*W30/W31</f>
        <v>25.513549682168</v>
      </c>
      <c r="X43" s="14" t="n">
        <f aca="false">X29*X30/X31</f>
        <v>25.513549682168</v>
      </c>
      <c r="Y43" s="14" t="n">
        <f aca="false">Y29*Y30/Y31</f>
        <v>25.513549682168</v>
      </c>
      <c r="Z43" s="14" t="n">
        <f aca="false">Z29*Z30/Z31</f>
        <v>25.513549682168</v>
      </c>
      <c r="AA43" s="14" t="n">
        <f aca="false">AA29*AA30/AA31</f>
        <v>25.513549682168</v>
      </c>
    </row>
    <row r="44" customFormat="false" ht="15" hidden="false" customHeight="false" outlineLevel="0" collapsed="false">
      <c r="A44" s="2" t="s">
        <v>405</v>
      </c>
      <c r="B44" s="14" t="n">
        <f aca="false">B6*(1+B7)</f>
        <v>1195.89987496284</v>
      </c>
      <c r="C44" s="14" t="n">
        <f aca="false">C6*(1+C7)</f>
        <v>1195.89987496284</v>
      </c>
      <c r="D44" s="14" t="n">
        <f aca="false">D6*(1+D7)</f>
        <v>1178</v>
      </c>
      <c r="E44" s="14" t="n">
        <f aca="false">E6*(1+E7)</f>
        <v>1195.89987496284</v>
      </c>
      <c r="F44" s="14" t="n">
        <f aca="false">F6*(1+F7)</f>
        <v>1195.89987496284</v>
      </c>
      <c r="G44" s="14" t="n">
        <f aca="false">G6*(1+G7)</f>
        <v>1195.89987496284</v>
      </c>
      <c r="H44" s="14" t="n">
        <f aca="false">H6*(1+H7)</f>
        <v>1195.89987496284</v>
      </c>
      <c r="I44" s="14" t="n">
        <f aca="false">I6*(1+I7)</f>
        <v>1195.89987496284</v>
      </c>
      <c r="J44" s="14" t="n">
        <f aca="false">J6*(1+J7)</f>
        <v>1142.66</v>
      </c>
      <c r="K44" s="14" t="n">
        <f aca="false">K6*(1+K7)</f>
        <v>1236.9</v>
      </c>
      <c r="L44" s="14" t="n">
        <f aca="false">L6*(1+L7)</f>
        <v>1195.89987496284</v>
      </c>
      <c r="M44" s="14" t="n">
        <f aca="false">M6*(1+M7)</f>
        <v>1195.89987496284</v>
      </c>
      <c r="N44" s="14" t="n">
        <f aca="false">N6*(1+N7)</f>
        <v>1195.89987496284</v>
      </c>
      <c r="O44" s="14" t="n">
        <f aca="false">O6*(1+O7)</f>
        <v>1195.89987496284</v>
      </c>
      <c r="P44" s="14" t="n">
        <f aca="false">P6*(1+P7)</f>
        <v>1195.89987496284</v>
      </c>
      <c r="Q44" s="14" t="n">
        <f aca="false">Q6*(1+Q7)</f>
        <v>1195.89987496284</v>
      </c>
      <c r="R44" s="14" t="n">
        <f aca="false">R6*(1+R7)</f>
        <v>1195.89987496284</v>
      </c>
      <c r="S44" s="14" t="n">
        <f aca="false">S6*(1+S7)</f>
        <v>1195.89987496284</v>
      </c>
      <c r="T44" s="14" t="n">
        <f aca="false">T6*(1+T7)</f>
        <v>1195.89987496284</v>
      </c>
      <c r="U44" s="14" t="n">
        <f aca="false">U6*(1+U7)</f>
        <v>1195.89987496284</v>
      </c>
      <c r="V44" s="14" t="n">
        <f aca="false">V6*(1+V7)</f>
        <v>1195.89987496284</v>
      </c>
      <c r="W44" s="14" t="n">
        <f aca="false">W6*(1+W7)</f>
        <v>1195.89987496284</v>
      </c>
      <c r="X44" s="14" t="n">
        <f aca="false">X6*(1+X7)</f>
        <v>1195.89987496284</v>
      </c>
      <c r="Y44" s="14" t="n">
        <f aca="false">Y6*(1+Y7)</f>
        <v>1195.89987496284</v>
      </c>
      <c r="Z44" s="14" t="n">
        <f aca="false">Z6*(1+Z7)</f>
        <v>1195.89987496284</v>
      </c>
      <c r="AA44" s="14" t="n">
        <f aca="false">AA6*(1+AA7)</f>
        <v>1195.89987496284</v>
      </c>
    </row>
    <row r="45" customFormat="false" ht="15" hidden="false" customHeight="false" outlineLevel="0" collapsed="false">
      <c r="A45" s="2" t="s">
        <v>406</v>
      </c>
      <c r="B45" s="14" t="n">
        <f aca="false">B44-B8</f>
        <v>1483.89987496284</v>
      </c>
      <c r="C45" s="14" t="n">
        <f aca="false">C44-C8</f>
        <v>1483.89987496284</v>
      </c>
      <c r="D45" s="14" t="n">
        <f aca="false">D44-D8</f>
        <v>1466</v>
      </c>
      <c r="E45" s="14" t="n">
        <f aca="false">E44-E8</f>
        <v>1483.89987496284</v>
      </c>
      <c r="F45" s="14" t="n">
        <f aca="false">F44-F8</f>
        <v>1483.89987496284</v>
      </c>
      <c r="G45" s="14" t="n">
        <f aca="false">G44-G8</f>
        <v>1483.89987496284</v>
      </c>
      <c r="H45" s="14" t="n">
        <f aca="false">H44-H8</f>
        <v>1483.89987496284</v>
      </c>
      <c r="I45" s="14" t="n">
        <f aca="false">I44-I8</f>
        <v>1483.89987496284</v>
      </c>
      <c r="J45" s="14" t="n">
        <f aca="false">J44-J8</f>
        <v>1430.66</v>
      </c>
      <c r="K45" s="14" t="n">
        <f aca="false">K44-K8</f>
        <v>1524.9</v>
      </c>
      <c r="L45" s="14" t="n">
        <f aca="false">L44-L8</f>
        <v>1483.89987496284</v>
      </c>
      <c r="M45" s="14" t="n">
        <f aca="false">M44-M8</f>
        <v>1483.89987496284</v>
      </c>
      <c r="N45" s="14" t="n">
        <f aca="false">N44-N8</f>
        <v>1483.89987496284</v>
      </c>
      <c r="O45" s="14" t="n">
        <f aca="false">O44-O8</f>
        <v>1483.89987496284</v>
      </c>
      <c r="P45" s="14" t="n">
        <f aca="false">P44-P8</f>
        <v>1483.89987496284</v>
      </c>
      <c r="Q45" s="14" t="n">
        <f aca="false">Q44-Q8</f>
        <v>1483.89987496284</v>
      </c>
      <c r="R45" s="14" t="n">
        <f aca="false">R44-R8</f>
        <v>1483.89987496284</v>
      </c>
      <c r="S45" s="14" t="n">
        <f aca="false">S44-S8</f>
        <v>1483.89987496284</v>
      </c>
      <c r="T45" s="14" t="n">
        <f aca="false">T44-T8</f>
        <v>1483.89987496284</v>
      </c>
      <c r="U45" s="14" t="n">
        <f aca="false">U44-U8</f>
        <v>1483.89987496284</v>
      </c>
      <c r="V45" s="14" t="n">
        <f aca="false">V44-V8</f>
        <v>1483.89987496284</v>
      </c>
      <c r="W45" s="14" t="n">
        <f aca="false">W44-W8</f>
        <v>1483.89987496284</v>
      </c>
      <c r="X45" s="14" t="n">
        <f aca="false">X44-X8</f>
        <v>1483.89987496284</v>
      </c>
      <c r="Y45" s="14" t="n">
        <f aca="false">Y44-Y8</f>
        <v>1483.89987496284</v>
      </c>
      <c r="Z45" s="14" t="n">
        <f aca="false">Z44-Z8</f>
        <v>1483.89987496284</v>
      </c>
      <c r="AA45" s="14" t="n">
        <f aca="false">AA44-AA8</f>
        <v>1483.89987496284</v>
      </c>
    </row>
    <row r="46" customFormat="false" ht="15" hidden="false" customHeight="false" outlineLevel="0" collapsed="false">
      <c r="A46" s="2" t="s">
        <v>407</v>
      </c>
      <c r="B46" s="14" t="n">
        <f aca="false">B44*(1+B7)+B9</f>
        <v>1214.07174103237</v>
      </c>
      <c r="C46" s="14" t="n">
        <f aca="false">C44*(1+C7)+C9</f>
        <v>1214.07174103237</v>
      </c>
      <c r="D46" s="14" t="n">
        <f aca="false">D44*(1+D7)+D9</f>
        <v>1178</v>
      </c>
      <c r="E46" s="14" t="n">
        <f aca="false">E44*(1+E7)+E9</f>
        <v>1214.07174103237</v>
      </c>
      <c r="F46" s="14" t="n">
        <f aca="false">F44*(1+F7)+F9</f>
        <v>1214.07174103237</v>
      </c>
      <c r="G46" s="14" t="n">
        <f aca="false">G44*(1+G7)+G9</f>
        <v>1214.07174103237</v>
      </c>
      <c r="H46" s="14" t="n">
        <f aca="false">H44*(1+H7)+H9</f>
        <v>1214.07174103237</v>
      </c>
      <c r="I46" s="14" t="n">
        <f aca="false">I44*(1+I7)+I9</f>
        <v>1214.07174103237</v>
      </c>
      <c r="J46" s="14" t="n">
        <f aca="false">J44*(1+J7)+J9</f>
        <v>1108.3802</v>
      </c>
      <c r="K46" s="14" t="n">
        <f aca="false">K44*(1+K7)+K9</f>
        <v>1298.745</v>
      </c>
      <c r="L46" s="14" t="n">
        <f aca="false">L44*(1+L7)+L9</f>
        <v>1214.07174103237</v>
      </c>
      <c r="M46" s="14" t="n">
        <f aca="false">M44*(1+M7)+M9</f>
        <v>1214.07174103237</v>
      </c>
      <c r="N46" s="14" t="n">
        <f aca="false">N44*(1+N7)+N9</f>
        <v>1214.07174103237</v>
      </c>
      <c r="O46" s="14" t="n">
        <f aca="false">O44*(1+O7)+O9</f>
        <v>1214.07174103237</v>
      </c>
      <c r="P46" s="14" t="n">
        <f aca="false">P44*(1+P7)+P9</f>
        <v>1214.07174103237</v>
      </c>
      <c r="Q46" s="14" t="n">
        <f aca="false">Q44*(1+Q7)+Q9</f>
        <v>1214.07174103237</v>
      </c>
      <c r="R46" s="14" t="n">
        <f aca="false">R44*(1+R7)+R9</f>
        <v>1214.07174103237</v>
      </c>
      <c r="S46" s="14" t="n">
        <f aca="false">S44*(1+S7)+S9</f>
        <v>1214.07174103237</v>
      </c>
      <c r="T46" s="14" t="n">
        <f aca="false">T44*(1+T7)+T9</f>
        <v>1214.07174103237</v>
      </c>
      <c r="U46" s="14" t="n">
        <f aca="false">U44*(1+U7)+U9</f>
        <v>1214.07174103237</v>
      </c>
      <c r="V46" s="14" t="n">
        <f aca="false">V44*(1+V7)+V9</f>
        <v>1214.07174103237</v>
      </c>
      <c r="W46" s="14" t="n">
        <f aca="false">W44*(1+W7)+W9</f>
        <v>1214.07174103237</v>
      </c>
      <c r="X46" s="14" t="n">
        <f aca="false">X44*(1+X7)+X9</f>
        <v>1214.07174103237</v>
      </c>
      <c r="Y46" s="14" t="n">
        <f aca="false">Y44*(1+Y7)+Y9</f>
        <v>1214.07174103237</v>
      </c>
      <c r="Z46" s="14" t="n">
        <f aca="false">Z44*(1+Z7)+Z9</f>
        <v>1214.07174103237</v>
      </c>
      <c r="AA46" s="14" t="n">
        <f aca="false">AA44*(1+AA7)+AA9</f>
        <v>1214.07174103237</v>
      </c>
    </row>
    <row r="47" customFormat="false" ht="15" hidden="false" customHeight="false" outlineLevel="0" collapsed="false">
      <c r="A47" s="2" t="s">
        <v>408</v>
      </c>
      <c r="B47" s="14" t="n">
        <f aca="false">B13+B14-B17</f>
        <v>134</v>
      </c>
      <c r="C47" s="14" t="n">
        <f aca="false">C13+C14-C17</f>
        <v>134</v>
      </c>
      <c r="D47" s="14" t="n">
        <f aca="false">D13+D14-D17</f>
        <v>134</v>
      </c>
      <c r="E47" s="14" t="n">
        <f aca="false">E13+E14-E17</f>
        <v>134</v>
      </c>
      <c r="F47" s="14" t="n">
        <f aca="false">F13+F14-F17</f>
        <v>134</v>
      </c>
      <c r="G47" s="14" t="n">
        <f aca="false">G13+G14-G17</f>
        <v>134</v>
      </c>
      <c r="H47" s="14" t="n">
        <f aca="false">H13+H14-H17</f>
        <v>134</v>
      </c>
      <c r="I47" s="14" t="n">
        <f aca="false">I13+I14-I17</f>
        <v>134</v>
      </c>
      <c r="J47" s="14" t="n">
        <f aca="false">J13+J14-J17</f>
        <v>134</v>
      </c>
      <c r="K47" s="14" t="n">
        <f aca="false">K13+K14-K17</f>
        <v>134</v>
      </c>
      <c r="L47" s="14" t="n">
        <f aca="false">L13+L14-L17</f>
        <v>134</v>
      </c>
      <c r="M47" s="14" t="n">
        <f aca="false">M13+M14-M17</f>
        <v>134</v>
      </c>
      <c r="N47" s="14" t="n">
        <f aca="false">N13+N14-N17</f>
        <v>134</v>
      </c>
      <c r="O47" s="14" t="n">
        <f aca="false">O13+O14-O17</f>
        <v>134</v>
      </c>
      <c r="P47" s="14" t="n">
        <f aca="false">P13+P14-P17</f>
        <v>134</v>
      </c>
      <c r="Q47" s="14" t="n">
        <f aca="false">Q13+Q14-Q17</f>
        <v>134</v>
      </c>
      <c r="R47" s="14" t="n">
        <f aca="false">R13+R14-R17</f>
        <v>134</v>
      </c>
      <c r="S47" s="14" t="n">
        <f aca="false">S13+S14-S17</f>
        <v>134</v>
      </c>
      <c r="T47" s="14" t="n">
        <f aca="false">T13+T14-T17</f>
        <v>134</v>
      </c>
      <c r="U47" s="14" t="n">
        <f aca="false">U13+U14-U17</f>
        <v>134</v>
      </c>
      <c r="V47" s="14" t="n">
        <f aca="false">V13+V14-V17</f>
        <v>134</v>
      </c>
      <c r="W47" s="14" t="n">
        <f aca="false">W13+W14-W17</f>
        <v>134</v>
      </c>
      <c r="X47" s="14" t="n">
        <f aca="false">X13+X14-X17</f>
        <v>134</v>
      </c>
      <c r="Y47" s="14" t="n">
        <f aca="false">Y13+Y14-Y17</f>
        <v>134</v>
      </c>
      <c r="Z47" s="14" t="n">
        <f aca="false">Z13+Z14-Z17</f>
        <v>134</v>
      </c>
      <c r="AA47" s="14" t="n">
        <f aca="false">AA13+AA14-AA17</f>
        <v>134</v>
      </c>
    </row>
    <row r="48" customFormat="false" ht="15" hidden="false" customHeight="false" outlineLevel="0" collapsed="false">
      <c r="A48" s="2" t="s">
        <v>409</v>
      </c>
      <c r="B48" s="14" t="n">
        <f aca="false">B14*(B15-B16)/B15</f>
        <v>95.9146341463415</v>
      </c>
      <c r="C48" s="14" t="n">
        <f aca="false">C14*(C15-C16)/C15</f>
        <v>95.9146341463415</v>
      </c>
      <c r="D48" s="14" t="n">
        <f aca="false">D14*(D15-D16)/D15</f>
        <v>95.9146341463415</v>
      </c>
      <c r="E48" s="14" t="n">
        <f aca="false">E14*(E15-E16)/E15</f>
        <v>95.9146341463415</v>
      </c>
      <c r="F48" s="14" t="n">
        <f aca="false">F14*(F15-F16)/F15</f>
        <v>95.9146341463415</v>
      </c>
      <c r="G48" s="14" t="n">
        <f aca="false">G14*(G15-G16)/G15</f>
        <v>95.9146341463415</v>
      </c>
      <c r="H48" s="14" t="n">
        <f aca="false">H14*(H15-H16)/H15</f>
        <v>95.9146341463415</v>
      </c>
      <c r="I48" s="14" t="n">
        <f aca="false">I14*(I15-I16)/I15</f>
        <v>95.9146341463415</v>
      </c>
      <c r="J48" s="14" t="n">
        <f aca="false">J14*(J15-J16)/J15</f>
        <v>95.9146341463415</v>
      </c>
      <c r="K48" s="14" t="n">
        <f aca="false">K14*(K15-K16)/K15</f>
        <v>95.9146341463415</v>
      </c>
      <c r="L48" s="14" t="n">
        <f aca="false">L14*(L15-L16)/L15</f>
        <v>95.9146341463415</v>
      </c>
      <c r="M48" s="14" t="n">
        <f aca="false">M14*(M15-M16)/M15</f>
        <v>95.9146341463415</v>
      </c>
      <c r="N48" s="14" t="n">
        <f aca="false">N14*(N15-N16)/N15</f>
        <v>95.9146341463415</v>
      </c>
      <c r="O48" s="14" t="n">
        <f aca="false">O14*(O15-O16)/O15</f>
        <v>95.9146341463415</v>
      </c>
      <c r="P48" s="14" t="n">
        <f aca="false">P14*(P15-P16)/P15</f>
        <v>95.9146341463415</v>
      </c>
      <c r="Q48" s="14" t="n">
        <f aca="false">Q14*(Q15-Q16)/Q15</f>
        <v>95.9146341463415</v>
      </c>
      <c r="R48" s="14" t="n">
        <f aca="false">R14*(R15-R16)/R15</f>
        <v>95.9146341463415</v>
      </c>
      <c r="S48" s="14" t="n">
        <f aca="false">S14*(S15-S16)/S15</f>
        <v>95.9146341463415</v>
      </c>
      <c r="T48" s="14" t="n">
        <f aca="false">T14*(T15-T16)/T15</f>
        <v>95.9146341463415</v>
      </c>
      <c r="U48" s="14" t="n">
        <f aca="false">U14*(U15-U16)/U15</f>
        <v>95.9146341463415</v>
      </c>
      <c r="V48" s="14" t="n">
        <f aca="false">V14*(V15-V16)/V15</f>
        <v>95.9146341463415</v>
      </c>
      <c r="W48" s="14" t="n">
        <f aca="false">W14*(W15-W16)/W15</f>
        <v>95.9146341463415</v>
      </c>
      <c r="X48" s="14" t="n">
        <f aca="false">X14*(X15-X16)/X15</f>
        <v>95.9146341463415</v>
      </c>
      <c r="Y48" s="14" t="n">
        <f aca="false">Y14*(Y15-Y16)/Y15</f>
        <v>95.9146341463415</v>
      </c>
      <c r="Z48" s="14" t="n">
        <f aca="false">Z14*(Z15-Z16)/Z15</f>
        <v>95.9146341463415</v>
      </c>
      <c r="AA48" s="14" t="n">
        <f aca="false">AA14*(AA15-AA16)/AA15</f>
        <v>95.9146341463415</v>
      </c>
    </row>
    <row r="49" customFormat="false" ht="15" hidden="false" customHeight="false" outlineLevel="0" collapsed="false">
      <c r="A49" s="2" t="s">
        <v>410</v>
      </c>
      <c r="B49" s="14" t="n">
        <f aca="false">B10*(1+B11)</f>
        <v>1186.92</v>
      </c>
      <c r="C49" s="14" t="n">
        <f aca="false">C10*(1+C11)</f>
        <v>1186.92</v>
      </c>
      <c r="D49" s="14" t="n">
        <f aca="false">D10*(1+D11)</f>
        <v>1186.92</v>
      </c>
      <c r="E49" s="14" t="n">
        <f aca="false">E10*(1+E11)</f>
        <v>1186.92</v>
      </c>
      <c r="F49" s="14" t="n">
        <f aca="false">F10*(1+F11)</f>
        <v>1186.92</v>
      </c>
      <c r="G49" s="14" t="n">
        <f aca="false">G10*(1+G11)</f>
        <v>1186.92</v>
      </c>
      <c r="H49" s="14" t="n">
        <f aca="false">H10*(1+H11)</f>
        <v>1186.92</v>
      </c>
      <c r="I49" s="14" t="n">
        <f aca="false">I10*(1+I11)</f>
        <v>1186.92</v>
      </c>
      <c r="J49" s="14" t="n">
        <f aca="false">J10*(1+J11)</f>
        <v>1186.92</v>
      </c>
      <c r="K49" s="14" t="n">
        <f aca="false">K10*(1+K11)</f>
        <v>1186.92</v>
      </c>
      <c r="L49" s="14" t="n">
        <f aca="false">L10*(1+L11)</f>
        <v>1186.92</v>
      </c>
      <c r="M49" s="14" t="n">
        <f aca="false">M10*(1+M11)</f>
        <v>1186.92</v>
      </c>
      <c r="N49" s="14" t="n">
        <f aca="false">N10*(1+N11)</f>
        <v>1186.92</v>
      </c>
      <c r="O49" s="14" t="n">
        <f aca="false">O10*(1+O11)</f>
        <v>1186.92</v>
      </c>
      <c r="P49" s="14" t="n">
        <f aca="false">P10*(1+P11)</f>
        <v>1142.96</v>
      </c>
      <c r="Q49" s="14" t="n">
        <f aca="false">Q10*(1+Q11)</f>
        <v>1208.9</v>
      </c>
      <c r="R49" s="14" t="n">
        <f aca="false">R10*(1+R11)</f>
        <v>1186.92</v>
      </c>
      <c r="S49" s="14" t="n">
        <f aca="false">S10*(1+S11)</f>
        <v>1186.92</v>
      </c>
      <c r="T49" s="14" t="n">
        <f aca="false">T10*(1+T11)</f>
        <v>1186.92</v>
      </c>
      <c r="U49" s="14" t="n">
        <f aca="false">U10*(1+U11)</f>
        <v>1186.92</v>
      </c>
      <c r="V49" s="14" t="n">
        <f aca="false">V10*(1+V11)</f>
        <v>1186.92</v>
      </c>
      <c r="W49" s="14" t="n">
        <f aca="false">W10*(1+W11)</f>
        <v>1186.92</v>
      </c>
      <c r="X49" s="14" t="n">
        <f aca="false">X10*(1+X11)</f>
        <v>1186.92</v>
      </c>
      <c r="Y49" s="14" t="n">
        <f aca="false">Y10*(1+Y11)</f>
        <v>1186.92</v>
      </c>
      <c r="Z49" s="14" t="n">
        <f aca="false">Z10*(1+Z11)</f>
        <v>1186.92</v>
      </c>
      <c r="AA49" s="14" t="n">
        <f aca="false">AA10*(1+AA11)</f>
        <v>1186.92</v>
      </c>
    </row>
    <row r="50" customFormat="false" ht="15" hidden="false" customHeight="false" outlineLevel="0" collapsed="false">
      <c r="A50" s="2" t="s">
        <v>411</v>
      </c>
      <c r="B50" s="14" t="n">
        <f aca="false">B49+B12+B48+B18</f>
        <v>1623.83463414634</v>
      </c>
      <c r="C50" s="14" t="n">
        <f aca="false">C49+C12+C48+C18</f>
        <v>1623.83463414634</v>
      </c>
      <c r="D50" s="14" t="n">
        <f aca="false">D49+D12+D48+D18</f>
        <v>1623.83463414634</v>
      </c>
      <c r="E50" s="14" t="n">
        <f aca="false">E49+E12+E48+E18</f>
        <v>1623.83463414634</v>
      </c>
      <c r="F50" s="14" t="n">
        <f aca="false">F49+F12+F48+F18</f>
        <v>1623.83463414634</v>
      </c>
      <c r="G50" s="14" t="n">
        <f aca="false">G49+G12+G48+G18</f>
        <v>1623.83463414634</v>
      </c>
      <c r="H50" s="14" t="n">
        <f aca="false">H49+H12+H48+H18</f>
        <v>1623.83463414634</v>
      </c>
      <c r="I50" s="14" t="n">
        <f aca="false">I49+I12+I48+I18</f>
        <v>1623.83463414634</v>
      </c>
      <c r="J50" s="14" t="n">
        <f aca="false">J49+J12+J48+J18</f>
        <v>1623.83463414634</v>
      </c>
      <c r="K50" s="14" t="n">
        <f aca="false">K49+K12+K48+K18</f>
        <v>1623.83463414634</v>
      </c>
      <c r="L50" s="14" t="n">
        <f aca="false">L49+L12+L48+L18</f>
        <v>1623.83463414634</v>
      </c>
      <c r="M50" s="14" t="n">
        <f aca="false">M49+M12+M48+M18</f>
        <v>1623.83463414634</v>
      </c>
      <c r="N50" s="14" t="n">
        <f aca="false">N49+N12+N48+N18</f>
        <v>1623.83463414634</v>
      </c>
      <c r="O50" s="14" t="n">
        <f aca="false">O49+O12+O48+O18</f>
        <v>1623.83463414634</v>
      </c>
      <c r="P50" s="14" t="n">
        <f aca="false">P49+P12+P48+P18</f>
        <v>1579.87463414634</v>
      </c>
      <c r="Q50" s="14" t="n">
        <f aca="false">Q49+Q12+Q48+Q18</f>
        <v>1645.81463414634</v>
      </c>
      <c r="R50" s="14" t="n">
        <f aca="false">R49+R12+R48+R18</f>
        <v>1623.83463414634</v>
      </c>
      <c r="S50" s="14" t="n">
        <f aca="false">S49+S12+S48+S18</f>
        <v>1623.83463414634</v>
      </c>
      <c r="T50" s="14" t="n">
        <f aca="false">T49+T12+T48+T18</f>
        <v>1623.83463414634</v>
      </c>
      <c r="U50" s="14" t="n">
        <f aca="false">U49+U12+U48+U18</f>
        <v>1623.83463414634</v>
      </c>
      <c r="V50" s="14" t="n">
        <f aca="false">V49+V12+V48+V18</f>
        <v>1623.83463414634</v>
      </c>
      <c r="W50" s="14" t="n">
        <f aca="false">W49+W12+W48+W18</f>
        <v>1623.83463414634</v>
      </c>
      <c r="X50" s="14" t="n">
        <f aca="false">X49+X12+X48+X18</f>
        <v>1623.83463414634</v>
      </c>
      <c r="Y50" s="14" t="n">
        <f aca="false">Y49+Y12+Y48+Y18</f>
        <v>1623.83463414634</v>
      </c>
      <c r="Z50" s="14" t="n">
        <f aca="false">Z49+Z12+Z48+Z18</f>
        <v>1623.83463414634</v>
      </c>
      <c r="AA50" s="14" t="n">
        <f aca="false">AA49+AA12+AA48+AA18</f>
        <v>1623.83463414634</v>
      </c>
    </row>
    <row r="51" customFormat="false" ht="15" hidden="false" customHeight="false" outlineLevel="0" collapsed="false">
      <c r="A51" s="2" t="s">
        <v>412</v>
      </c>
      <c r="B51" s="14" t="n">
        <f aca="false">B19*B20</f>
        <v>1500</v>
      </c>
      <c r="C51" s="14" t="n">
        <f aca="false">C19*C20</f>
        <v>1500</v>
      </c>
      <c r="D51" s="14" t="n">
        <f aca="false">D19*D20</f>
        <v>1000</v>
      </c>
      <c r="E51" s="14" t="n">
        <f aca="false">E19*E20</f>
        <v>2000</v>
      </c>
      <c r="F51" s="14" t="n">
        <f aca="false">F19*F20</f>
        <v>1500</v>
      </c>
      <c r="G51" s="14" t="n">
        <f aca="false">G19*G20</f>
        <v>1500</v>
      </c>
      <c r="H51" s="14" t="n">
        <f aca="false">H19*H20</f>
        <v>1500</v>
      </c>
      <c r="I51" s="14" t="n">
        <f aca="false">I19*I20</f>
        <v>1500</v>
      </c>
      <c r="J51" s="14" t="n">
        <f aca="false">J19*J20</f>
        <v>1500</v>
      </c>
      <c r="K51" s="14" t="n">
        <f aca="false">K19*K20</f>
        <v>1500</v>
      </c>
      <c r="L51" s="14" t="n">
        <f aca="false">L19*L20</f>
        <v>1000</v>
      </c>
      <c r="M51" s="14" t="n">
        <f aca="false">M19*M20</f>
        <v>2000</v>
      </c>
      <c r="N51" s="14" t="n">
        <f aca="false">N19*N20</f>
        <v>1500</v>
      </c>
      <c r="O51" s="14" t="n">
        <f aca="false">O19*O20</f>
        <v>1500</v>
      </c>
      <c r="P51" s="14" t="n">
        <f aca="false">P19*P20</f>
        <v>1500</v>
      </c>
      <c r="Q51" s="14" t="n">
        <f aca="false">Q19*Q20</f>
        <v>1500</v>
      </c>
      <c r="R51" s="14" t="n">
        <f aca="false">R19*R20</f>
        <v>1500</v>
      </c>
      <c r="S51" s="14" t="n">
        <f aca="false">S19*S20</f>
        <v>1500</v>
      </c>
      <c r="T51" s="14" t="n">
        <f aca="false">T19*T20</f>
        <v>1500</v>
      </c>
      <c r="U51" s="14" t="n">
        <f aca="false">U19*U20</f>
        <v>1500</v>
      </c>
      <c r="V51" s="14" t="n">
        <f aca="false">V19*V20</f>
        <v>1500</v>
      </c>
      <c r="W51" s="14" t="n">
        <f aca="false">W19*W20</f>
        <v>1500</v>
      </c>
      <c r="X51" s="14" t="n">
        <f aca="false">X19*X20</f>
        <v>1500</v>
      </c>
      <c r="Y51" s="14" t="n">
        <f aca="false">Y19*Y20</f>
        <v>1500</v>
      </c>
      <c r="Z51" s="14" t="n">
        <f aca="false">Z19*Z20</f>
        <v>1500</v>
      </c>
      <c r="AA51" s="14" t="n">
        <f aca="false">AA19*AA20</f>
        <v>1500</v>
      </c>
    </row>
    <row r="52" customFormat="false" ht="15" hidden="false" customHeight="false" outlineLevel="0" collapsed="false">
      <c r="A52" s="2" t="s">
        <v>413</v>
      </c>
      <c r="B52" s="14" t="n">
        <f aca="false">B51*B21</f>
        <v>300</v>
      </c>
      <c r="C52" s="14" t="n">
        <f aca="false">C51*C21</f>
        <v>300</v>
      </c>
      <c r="D52" s="14" t="n">
        <f aca="false">D51*D21</f>
        <v>200</v>
      </c>
      <c r="E52" s="14" t="n">
        <f aca="false">E51*E21</f>
        <v>400</v>
      </c>
      <c r="F52" s="14" t="n">
        <f aca="false">F51*F21</f>
        <v>300</v>
      </c>
      <c r="G52" s="14" t="n">
        <f aca="false">G51*G21</f>
        <v>300</v>
      </c>
      <c r="H52" s="14" t="n">
        <f aca="false">H51*H21</f>
        <v>300</v>
      </c>
      <c r="I52" s="14" t="n">
        <f aca="false">I51*I21</f>
        <v>300</v>
      </c>
      <c r="J52" s="14" t="n">
        <f aca="false">J51*J21</f>
        <v>300</v>
      </c>
      <c r="K52" s="14" t="n">
        <f aca="false">K51*K21</f>
        <v>300</v>
      </c>
      <c r="L52" s="14" t="n">
        <f aca="false">L51*L21</f>
        <v>200</v>
      </c>
      <c r="M52" s="14" t="n">
        <f aca="false">M51*M21</f>
        <v>400</v>
      </c>
      <c r="N52" s="14" t="n">
        <f aca="false">N51*N21</f>
        <v>300</v>
      </c>
      <c r="O52" s="14" t="n">
        <f aca="false">O51*O21</f>
        <v>300</v>
      </c>
      <c r="P52" s="14" t="n">
        <f aca="false">P51*P21</f>
        <v>300</v>
      </c>
      <c r="Q52" s="14" t="n">
        <f aca="false">Q51*Q21</f>
        <v>300</v>
      </c>
      <c r="R52" s="14" t="n">
        <f aca="false">R51*R21</f>
        <v>300</v>
      </c>
      <c r="S52" s="14" t="n">
        <f aca="false">S51*S21</f>
        <v>300</v>
      </c>
      <c r="T52" s="14" t="n">
        <f aca="false">T51*T21</f>
        <v>300</v>
      </c>
      <c r="U52" s="14" t="n">
        <f aca="false">U51*U21</f>
        <v>300</v>
      </c>
      <c r="V52" s="14" t="n">
        <f aca="false">V51*V21</f>
        <v>300</v>
      </c>
      <c r="W52" s="14" t="n">
        <f aca="false">W51*W21</f>
        <v>300</v>
      </c>
      <c r="X52" s="14" t="n">
        <f aca="false">X51*X21</f>
        <v>300</v>
      </c>
      <c r="Y52" s="14" t="n">
        <f aca="false">Y51*Y21</f>
        <v>300</v>
      </c>
      <c r="Z52" s="14" t="n">
        <f aca="false">Z51*Z21</f>
        <v>300</v>
      </c>
      <c r="AA52" s="14" t="n">
        <f aca="false">AA51*AA21</f>
        <v>300</v>
      </c>
    </row>
    <row r="53" customFormat="false" ht="15" hidden="false" customHeight="false" outlineLevel="0" collapsed="false">
      <c r="A53" s="2" t="s">
        <v>414</v>
      </c>
      <c r="B53" s="14" t="n">
        <f aca="false">B51-B52</f>
        <v>1200</v>
      </c>
      <c r="C53" s="14" t="n">
        <f aca="false">C51-C52</f>
        <v>1200</v>
      </c>
      <c r="D53" s="14" t="n">
        <f aca="false">D51-D52</f>
        <v>800</v>
      </c>
      <c r="E53" s="14" t="n">
        <f aca="false">E51-E52</f>
        <v>1600</v>
      </c>
      <c r="F53" s="14" t="n">
        <f aca="false">F51-F52</f>
        <v>1200</v>
      </c>
      <c r="G53" s="14" t="n">
        <f aca="false">G51-G52</f>
        <v>1200</v>
      </c>
      <c r="H53" s="14" t="n">
        <f aca="false">H51-H52</f>
        <v>1200</v>
      </c>
      <c r="I53" s="14" t="n">
        <f aca="false">I51-I52</f>
        <v>1200</v>
      </c>
      <c r="J53" s="14" t="n">
        <f aca="false">J51-J52</f>
        <v>1200</v>
      </c>
      <c r="K53" s="14" t="n">
        <f aca="false">K51-K52</f>
        <v>1200</v>
      </c>
      <c r="L53" s="14" t="n">
        <f aca="false">L51-L52</f>
        <v>800</v>
      </c>
      <c r="M53" s="14" t="n">
        <f aca="false">M51-M52</f>
        <v>1600</v>
      </c>
      <c r="N53" s="14" t="n">
        <f aca="false">N51-N52</f>
        <v>1200</v>
      </c>
      <c r="O53" s="14" t="n">
        <f aca="false">O51-O52</f>
        <v>1200</v>
      </c>
      <c r="P53" s="14" t="n">
        <f aca="false">P51-P52</f>
        <v>1200</v>
      </c>
      <c r="Q53" s="14" t="n">
        <f aca="false">Q51-Q52</f>
        <v>1200</v>
      </c>
      <c r="R53" s="14" t="n">
        <f aca="false">R51-R52</f>
        <v>1200</v>
      </c>
      <c r="S53" s="14" t="n">
        <f aca="false">S51-S52</f>
        <v>1200</v>
      </c>
      <c r="T53" s="14" t="n">
        <f aca="false">T51-T52</f>
        <v>1200</v>
      </c>
      <c r="U53" s="14" t="n">
        <f aca="false">U51-U52</f>
        <v>1200</v>
      </c>
      <c r="V53" s="14" t="n">
        <f aca="false">V51-V52</f>
        <v>1200</v>
      </c>
      <c r="W53" s="14" t="n">
        <f aca="false">W51-W52</f>
        <v>1200</v>
      </c>
      <c r="X53" s="14" t="n">
        <f aca="false">X51-X52</f>
        <v>1200</v>
      </c>
      <c r="Y53" s="14" t="n">
        <f aca="false">Y51-Y52</f>
        <v>1200</v>
      </c>
      <c r="Z53" s="14" t="n">
        <f aca="false">Z51-Z52</f>
        <v>1200</v>
      </c>
      <c r="AA53" s="14" t="n">
        <f aca="false">AA51-AA52</f>
        <v>1200</v>
      </c>
    </row>
    <row r="54" customFormat="false" ht="15" hidden="false" customHeight="false" outlineLevel="0" collapsed="false">
      <c r="A54" s="3" t="s">
        <v>26</v>
      </c>
      <c r="B54" s="9" t="n">
        <f aca="false">B5-B45+B47+B18-B52+B38</f>
        <v>22982.1001250372</v>
      </c>
      <c r="C54" s="9" t="n">
        <f aca="false">C5-C45+C47+C18-C52+C38</f>
        <v>22982.1001250372</v>
      </c>
      <c r="D54" s="9" t="n">
        <f aca="false">D5-D45+D47+D18-D52+D38</f>
        <v>23100</v>
      </c>
      <c r="E54" s="9" t="n">
        <f aca="false">E5-E45+E47+E18-E52+E38</f>
        <v>22882.1001250372</v>
      </c>
      <c r="F54" s="9" t="n">
        <f aca="false">F5-F45+F47+F18-F52+F38</f>
        <v>22982.1001250372</v>
      </c>
      <c r="G54" s="9" t="n">
        <f aca="false">G5-G45+G47+G18-G52+G38</f>
        <v>22982.1001250372</v>
      </c>
      <c r="H54" s="9" t="n">
        <f aca="false">H5-H45+H47+H18-H52+H38</f>
        <v>22982.1001250372</v>
      </c>
      <c r="I54" s="9" t="n">
        <f aca="false">I5-I45+I47+I18-I52+I38</f>
        <v>22982.1001250372</v>
      </c>
      <c r="J54" s="9" t="n">
        <f aca="false">J5-J45+J47+J18-J52+J38</f>
        <v>23035.34</v>
      </c>
      <c r="K54" s="9" t="n">
        <f aca="false">K5-K45+K47+K18-K52+K38</f>
        <v>22941.1</v>
      </c>
      <c r="L54" s="9" t="n">
        <f aca="false">L5-L45+L47+L18-L52+L38</f>
        <v>23082.1001250372</v>
      </c>
      <c r="M54" s="9" t="n">
        <f aca="false">M5-M45+M47+M18-M52+M38</f>
        <v>22882.1001250372</v>
      </c>
      <c r="N54" s="9" t="n">
        <f aca="false">N5-N45+N47+N18-N52+N38</f>
        <v>22982.1001250372</v>
      </c>
      <c r="O54" s="9" t="n">
        <f aca="false">O5-O45+O47+O18-O52+O38</f>
        <v>22982.1001250372</v>
      </c>
      <c r="P54" s="9" t="n">
        <f aca="false">P5-P45+P47+P18-P52+P38</f>
        <v>22982.1001250372</v>
      </c>
      <c r="Q54" s="9" t="n">
        <f aca="false">Q5-Q45+Q47+Q18-Q52+Q38</f>
        <v>22982.1001250372</v>
      </c>
      <c r="R54" s="9" t="n">
        <f aca="false">R5-R45+R47+R18-R52+R38</f>
        <v>22982.1001250372</v>
      </c>
      <c r="S54" s="9" t="n">
        <f aca="false">S5-S45+S47+S18-S52+S38</f>
        <v>22982.1001250372</v>
      </c>
      <c r="T54" s="9" t="n">
        <f aca="false">T5-T45+T47+T18-T52+T38</f>
        <v>22982.1001250372</v>
      </c>
      <c r="U54" s="9" t="n">
        <f aca="false">U5-U45+U47+U18-U52+U38</f>
        <v>22982.1001250372</v>
      </c>
      <c r="V54" s="9" t="n">
        <f aca="false">V5-V45+V47+V18-V52+V38</f>
        <v>22982.1001250372</v>
      </c>
      <c r="W54" s="9" t="n">
        <f aca="false">W5-W45+W47+W18-W52+W38</f>
        <v>22982.1001250372</v>
      </c>
      <c r="X54" s="9" t="n">
        <f aca="false">X5-X45+X47+X18-X52+X38</f>
        <v>22982.1001250372</v>
      </c>
      <c r="Y54" s="9" t="n">
        <f aca="false">Y5-Y45+Y47+Y18-Y52+Y38</f>
        <v>22982.1001250372</v>
      </c>
      <c r="Z54" s="9" t="n">
        <f aca="false">Z5-Z45+Z47+Z18-Z52+Z38</f>
        <v>22982.1001250372</v>
      </c>
      <c r="AA54" s="9" t="n">
        <f aca="false">AA5-AA45+AA47+AA18-AA52+AA38</f>
        <v>22982.1001250372</v>
      </c>
    </row>
    <row r="55" customFormat="false" ht="15" hidden="false" customHeight="false" outlineLevel="0" collapsed="false">
      <c r="A55" s="2" t="s">
        <v>415</v>
      </c>
      <c r="B55" s="14" t="n">
        <f aca="false">B26*(1+B23+B24)+B42*B32/12</f>
        <v>7468.65963612611</v>
      </c>
      <c r="C55" s="14" t="n">
        <f aca="false">C26*(1+C23+C24)+C42*C32/12</f>
        <v>7468.65963612611</v>
      </c>
      <c r="D55" s="14" t="n">
        <f aca="false">D26*(1+D23+D24)+D42*D32/12</f>
        <v>7468.65963612611</v>
      </c>
      <c r="E55" s="14" t="n">
        <f aca="false">E26*(1+E23+E24)+E42*E32/12</f>
        <v>7468.65963612611</v>
      </c>
      <c r="F55" s="14" t="n">
        <f aca="false">F26*(1+F23+F24)+F42*F32/12</f>
        <v>7468.65963612611</v>
      </c>
      <c r="G55" s="14" t="n">
        <f aca="false">G26*(1+G23+G24)+G42*G32/12</f>
        <v>7468.65963612611</v>
      </c>
      <c r="H55" s="14" t="n">
        <f aca="false">H26*(1+H23+H24)+H42*H32/12</f>
        <v>7468.65963612611</v>
      </c>
      <c r="I55" s="14" t="n">
        <f aca="false">I26*(1+I23+I24)+I42*I32/12</f>
        <v>7468.65963612611</v>
      </c>
      <c r="J55" s="14" t="n">
        <f aca="false">J26*(1+J23+J24)+J42*J32/12</f>
        <v>7468.65963612611</v>
      </c>
      <c r="K55" s="14" t="n">
        <f aca="false">K26*(1+K23+K24)+K42*K32/12</f>
        <v>7468.65963612611</v>
      </c>
      <c r="L55" s="14" t="n">
        <f aca="false">L26*(1+L23+L24)+L42*L32/12</f>
        <v>7468.65963612611</v>
      </c>
      <c r="M55" s="14" t="n">
        <f aca="false">M26*(1+M23+M24)+M42*M32/12</f>
        <v>7468.65963612611</v>
      </c>
      <c r="N55" s="14" t="n">
        <f aca="false">N26*(1+N23+N24)+N42*N32/12</f>
        <v>7468.65963612611</v>
      </c>
      <c r="O55" s="14" t="n">
        <f aca="false">O26*(1+O23+O24)+O42*O32/12</f>
        <v>7468.65963612611</v>
      </c>
      <c r="P55" s="14" t="n">
        <f aca="false">P26*(1+P23+P24)+P42*P32/12</f>
        <v>7468.65963612611</v>
      </c>
      <c r="Q55" s="14" t="n">
        <f aca="false">Q26*(1+Q23+Q24)+Q42*Q32/12</f>
        <v>7468.65963612611</v>
      </c>
      <c r="R55" s="14" t="n">
        <f aca="false">R26*(1+R23+R24)+R42*R32/12</f>
        <v>7468.65963612611</v>
      </c>
      <c r="S55" s="14" t="n">
        <f aca="false">S26*(1+S23+S24)+S42*S32/12</f>
        <v>7468.65963612611</v>
      </c>
      <c r="T55" s="14" t="n">
        <f aca="false">T26*(1+T23+T24)+T42*T32/12</f>
        <v>7468.65963612611</v>
      </c>
      <c r="U55" s="14" t="n">
        <f aca="false">U26*(1+U23+U24)+U42*U32/12</f>
        <v>7468.65963612611</v>
      </c>
      <c r="V55" s="14" t="n">
        <f aca="false">V26*(1+V23+V24)+V42*V32/12</f>
        <v>7468.65963612611</v>
      </c>
      <c r="W55" s="14" t="n">
        <f aca="false">W26*(1+W23+W24)+W42*W32/12</f>
        <v>7468.65963612611</v>
      </c>
      <c r="X55" s="14" t="n">
        <f aca="false">X26*(1+X23+X24)+X42*X32/12</f>
        <v>7445.91049451855</v>
      </c>
      <c r="Y55" s="14" t="n">
        <f aca="false">Y26*(1+Y23+Y24)+Y42*Y32/12</f>
        <v>7492.19594526335</v>
      </c>
      <c r="Z55" s="14" t="n">
        <f aca="false">Z26*(1+Z23+Z24)+Z42*Z32/12</f>
        <v>7468.65963612611</v>
      </c>
      <c r="AA55" s="14" t="n">
        <f aca="false">AA26*(1+AA23+AA24)+AA42*AA32/12</f>
        <v>7468.65963612611</v>
      </c>
    </row>
    <row r="56" customFormat="false" ht="15" hidden="false" customHeight="false" outlineLevel="0" collapsed="false">
      <c r="A56" s="3" t="s">
        <v>27</v>
      </c>
      <c r="B56" s="34" t="n">
        <f aca="false">B54/B55</f>
        <v>3.0771385020509</v>
      </c>
      <c r="C56" s="34" t="n">
        <f aca="false">C54/C55</f>
        <v>3.0771385020509</v>
      </c>
      <c r="D56" s="34" t="n">
        <f aca="false">D54/D55</f>
        <v>3.09292445036117</v>
      </c>
      <c r="E56" s="34" t="n">
        <f aca="false">E54/E55</f>
        <v>3.06374921871601</v>
      </c>
      <c r="F56" s="34" t="n">
        <f aca="false">F54/F55</f>
        <v>3.0771385020509</v>
      </c>
      <c r="G56" s="34" t="n">
        <f aca="false">G54/G55</f>
        <v>3.0771385020509</v>
      </c>
      <c r="H56" s="34" t="n">
        <f aca="false">H54/H55</f>
        <v>3.0771385020509</v>
      </c>
      <c r="I56" s="34" t="n">
        <f aca="false">I54/I55</f>
        <v>3.0771385020509</v>
      </c>
      <c r="J56" s="34" t="n">
        <f aca="false">J54/J55</f>
        <v>3.08426693975682</v>
      </c>
      <c r="K56" s="34" t="n">
        <f aca="false">K54/K55</f>
        <v>3.07164887914202</v>
      </c>
      <c r="L56" s="34" t="n">
        <f aca="false">L54/L55</f>
        <v>3.0905277853858</v>
      </c>
      <c r="M56" s="34" t="n">
        <f aca="false">M54/M55</f>
        <v>3.06374921871601</v>
      </c>
      <c r="N56" s="34" t="n">
        <f aca="false">N54/N55</f>
        <v>3.0771385020509</v>
      </c>
      <c r="O56" s="34" t="n">
        <f aca="false">O54/O55</f>
        <v>3.0771385020509</v>
      </c>
      <c r="P56" s="34" t="n">
        <f aca="false">P54/P55</f>
        <v>3.0771385020509</v>
      </c>
      <c r="Q56" s="34" t="n">
        <f aca="false">Q54/Q55</f>
        <v>3.0771385020509</v>
      </c>
      <c r="R56" s="34" t="n">
        <f aca="false">R54/R55</f>
        <v>3.0771385020509</v>
      </c>
      <c r="S56" s="34" t="n">
        <f aca="false">S54/S55</f>
        <v>3.0771385020509</v>
      </c>
      <c r="T56" s="34" t="n">
        <f aca="false">T54/T55</f>
        <v>3.0771385020509</v>
      </c>
      <c r="U56" s="34" t="n">
        <f aca="false">U54/U55</f>
        <v>3.0771385020509</v>
      </c>
      <c r="V56" s="34" t="n">
        <f aca="false">V54/V55</f>
        <v>3.0771385020509</v>
      </c>
      <c r="W56" s="34" t="n">
        <f aca="false">W54/W55</f>
        <v>3.0771385020509</v>
      </c>
      <c r="X56" s="34" t="n">
        <f aca="false">X54/X55</f>
        <v>3.08653993919963</v>
      </c>
      <c r="Y56" s="34" t="n">
        <f aca="false">Y54/Y55</f>
        <v>3.06747184576328</v>
      </c>
      <c r="Z56" s="34" t="n">
        <f aca="false">Z54/Z55</f>
        <v>3.0771385020509</v>
      </c>
      <c r="AA56" s="34" t="n">
        <f aca="false">AA54/AA55</f>
        <v>3.0771385020509</v>
      </c>
    </row>
    <row r="57" customFormat="false" ht="15" hidden="false" customHeight="false" outlineLevel="0" collapsed="false">
      <c r="A57" s="2" t="s">
        <v>416</v>
      </c>
      <c r="B57" s="2" t="str">
        <f aca="false">IF(ABS(B56-B35)&lt;=0.15,"consistent","REVIEW")</f>
        <v>consistent</v>
      </c>
      <c r="C57" s="2" t="str">
        <f aca="false">IF(ABS(C56-C35)&lt;=0.15,"consistent","REVIEW")</f>
        <v>consistent</v>
      </c>
      <c r="D57" s="2" t="str">
        <f aca="false">IF(ABS(D56-D35)&lt;=0.15,"consistent","REVIEW")</f>
        <v>consistent</v>
      </c>
      <c r="E57" s="2" t="str">
        <f aca="false">IF(ABS(E56-E35)&lt;=0.15,"consistent","REVIEW")</f>
        <v>consistent</v>
      </c>
      <c r="F57" s="2" t="str">
        <f aca="false">IF(ABS(F56-F35)&lt;=0.15,"consistent","REVIEW")</f>
        <v>consistent</v>
      </c>
      <c r="G57" s="2" t="str">
        <f aca="false">IF(ABS(G56-G35)&lt;=0.15,"consistent","REVIEW")</f>
        <v>consistent</v>
      </c>
      <c r="H57" s="2" t="str">
        <f aca="false">IF(ABS(H56-H35)&lt;=0.15,"consistent","REVIEW")</f>
        <v>consistent</v>
      </c>
      <c r="I57" s="2" t="str">
        <f aca="false">IF(ABS(I56-I35)&lt;=0.15,"consistent","REVIEW")</f>
        <v>consistent</v>
      </c>
      <c r="J57" s="2" t="str">
        <f aca="false">IF(ABS(J56-J35)&lt;=0.15,"consistent","REVIEW")</f>
        <v>consistent</v>
      </c>
      <c r="K57" s="2" t="str">
        <f aca="false">IF(ABS(K56-K35)&lt;=0.15,"consistent","REVIEW")</f>
        <v>consistent</v>
      </c>
      <c r="L57" s="2" t="str">
        <f aca="false">IF(ABS(L56-L35)&lt;=0.15,"consistent","REVIEW")</f>
        <v>consistent</v>
      </c>
      <c r="M57" s="2" t="str">
        <f aca="false">IF(ABS(M56-M35)&lt;=0.15,"consistent","REVIEW")</f>
        <v>consistent</v>
      </c>
      <c r="N57" s="2" t="str">
        <f aca="false">IF(ABS(N56-N35)&lt;=0.15,"consistent","REVIEW")</f>
        <v>consistent</v>
      </c>
      <c r="O57" s="2" t="str">
        <f aca="false">IF(ABS(O56-O35)&lt;=0.15,"consistent","REVIEW")</f>
        <v>consistent</v>
      </c>
      <c r="P57" s="2" t="str">
        <f aca="false">IF(ABS(P56-P35)&lt;=0.15,"consistent","REVIEW")</f>
        <v>consistent</v>
      </c>
      <c r="Q57" s="2" t="str">
        <f aca="false">IF(ABS(Q56-Q35)&lt;=0.15,"consistent","REVIEW")</f>
        <v>consistent</v>
      </c>
      <c r="R57" s="2" t="str">
        <f aca="false">IF(ABS(R56-R35)&lt;=0.15,"consistent","REVIEW")</f>
        <v>consistent</v>
      </c>
      <c r="S57" s="2" t="str">
        <f aca="false">IF(ABS(S56-S35)&lt;=0.15,"consistent","REVIEW")</f>
        <v>consistent</v>
      </c>
      <c r="T57" s="2" t="str">
        <f aca="false">IF(ABS(T56-T35)&lt;=0.15,"consistent","REVIEW")</f>
        <v>consistent</v>
      </c>
      <c r="U57" s="2" t="str">
        <f aca="false">IF(ABS(U56-U35)&lt;=0.15,"consistent","REVIEW")</f>
        <v>consistent</v>
      </c>
      <c r="V57" s="2" t="str">
        <f aca="false">IF(ABS(V56-V35)&lt;=0.15,"consistent","REVIEW")</f>
        <v>consistent</v>
      </c>
      <c r="W57" s="2" t="str">
        <f aca="false">IF(ABS(W56-W35)&lt;=0.15,"consistent","REVIEW")</f>
        <v>consistent</v>
      </c>
      <c r="X57" s="2" t="str">
        <f aca="false">IF(ABS(X56-X35)&lt;=0.15,"consistent","REVIEW")</f>
        <v>consistent</v>
      </c>
      <c r="Y57" s="2" t="str">
        <f aca="false">IF(ABS(Y56-Y35)&lt;=0.15,"consistent","REVIEW")</f>
        <v>consistent</v>
      </c>
      <c r="Z57" s="2" t="str">
        <f aca="false">IF(ABS(Z56-Z35)&lt;=0.15,"consistent","REVIEW")</f>
        <v>consistent</v>
      </c>
      <c r="AA57" s="2" t="str">
        <f aca="false">IF(ABS(AA56-AA35)&lt;=0.15,"consistent","REVIEW")</f>
        <v>consistent</v>
      </c>
    </row>
    <row r="58" customFormat="false" ht="15" hidden="false" customHeight="false" outlineLevel="0" collapsed="false">
      <c r="A58" s="3" t="s">
        <v>417</v>
      </c>
      <c r="B58" s="9" t="n">
        <f aca="false">B54-B46+B50-B53+B39</f>
        <v>22191.8630181511</v>
      </c>
      <c r="C58" s="9" t="n">
        <f aca="false">C54-C46+C50-C53+C39</f>
        <v>22191.8630181511</v>
      </c>
      <c r="D58" s="9" t="n">
        <f aca="false">D54-D46+D50-D53+D39</f>
        <v>23045.8346341463</v>
      </c>
      <c r="E58" s="9" t="n">
        <f aca="false">E54-E46+E50-E53+E39</f>
        <v>21691.8630181511</v>
      </c>
      <c r="F58" s="9" t="n">
        <f aca="false">F54-F46+F50-F53+F39</f>
        <v>22191.8630181511</v>
      </c>
      <c r="G58" s="9" t="n">
        <f aca="false">G54-G46+G50-G53+G39</f>
        <v>22191.8630181511</v>
      </c>
      <c r="H58" s="9" t="n">
        <f aca="false">H54-H46+H50-H53+H39</f>
        <v>22191.8630181511</v>
      </c>
      <c r="I58" s="9" t="n">
        <f aca="false">I54-I46+I50-I53+I39</f>
        <v>22191.8630181511</v>
      </c>
      <c r="J58" s="9" t="n">
        <f aca="false">J54-J46+J50-J53+J39</f>
        <v>22350.7944341463</v>
      </c>
      <c r="K58" s="9" t="n">
        <f aca="false">K54-K46+K50-K53+K39</f>
        <v>22066.1896341463</v>
      </c>
      <c r="L58" s="9" t="n">
        <f aca="false">L54-L46+L50-L53+L39</f>
        <v>22691.8630181511</v>
      </c>
      <c r="M58" s="9" t="n">
        <f aca="false">M54-M46+M50-M53+M39</f>
        <v>21691.8630181511</v>
      </c>
      <c r="N58" s="9" t="n">
        <f aca="false">N54-N46+N50-N53+N39</f>
        <v>22191.8630181511</v>
      </c>
      <c r="O58" s="9" t="n">
        <f aca="false">O54-O46+O50-O53+O39</f>
        <v>22191.8630181511</v>
      </c>
      <c r="P58" s="9" t="n">
        <f aca="false">P54-P46+P50-P53+P39</f>
        <v>22147.9030181511</v>
      </c>
      <c r="Q58" s="9" t="n">
        <f aca="false">Q54-Q46+Q50-Q53+Q39</f>
        <v>22213.8430181511</v>
      </c>
      <c r="R58" s="9" t="n">
        <f aca="false">R54-R46+R50-R53+R39</f>
        <v>22591.8630181511</v>
      </c>
      <c r="S58" s="9" t="n">
        <f aca="false">S54-S46+S50-S53+S39</f>
        <v>21791.8630181511</v>
      </c>
      <c r="T58" s="9" t="n">
        <f aca="false">T54-T46+T50-T53+T39</f>
        <v>22191.8630181511</v>
      </c>
      <c r="U58" s="9" t="n">
        <f aca="false">U54-U46+U50-U53+U39</f>
        <v>22191.8630181511</v>
      </c>
      <c r="V58" s="9" t="n">
        <f aca="false">V54-V46+V50-V53+V39</f>
        <v>22191.8630181511</v>
      </c>
      <c r="W58" s="9" t="n">
        <f aca="false">W54-W46+W50-W53+W39</f>
        <v>22191.8630181511</v>
      </c>
      <c r="X58" s="9" t="n">
        <f aca="false">X54-X46+X50-X53+X39</f>
        <v>22191.8630181511</v>
      </c>
      <c r="Y58" s="9" t="n">
        <f aca="false">Y54-Y46+Y50-Y53+Y39</f>
        <v>22191.8630181511</v>
      </c>
      <c r="Z58" s="9" t="n">
        <f aca="false">Z54-Z46+Z50-Z53+Z39</f>
        <v>22191.8630181511</v>
      </c>
      <c r="AA58" s="9" t="n">
        <f aca="false">AA54-AA46+AA50-AA53+AA39</f>
        <v>22191.8630181511</v>
      </c>
    </row>
    <row r="59" customFormat="false" ht="15" hidden="false" customHeight="false" outlineLevel="0" collapsed="false">
      <c r="A59" s="2" t="s">
        <v>418</v>
      </c>
      <c r="B59" s="14" t="n">
        <f aca="false">IF(B33&gt;0,B33,B26*(1+B23+B24)*(1+B25)+B42*(1+B25)+B43)</f>
        <v>7938.37589470917</v>
      </c>
      <c r="C59" s="14" t="n">
        <f aca="false">IF(C33&gt;0,C33,C26*(1+C23+C24)*(1+C25)+C42*(1+C25)+C43)</f>
        <v>8000</v>
      </c>
      <c r="D59" s="14" t="n">
        <f aca="false">IF(D33&gt;0,D33,D26*(1+D23+D24)*(1+D25)+D42*(1+D25)+D43)</f>
        <v>7863.01530094701</v>
      </c>
      <c r="E59" s="14" t="n">
        <f aca="false">IF(E33&gt;0,E33,E26*(1+E23+E24)*(1+E25)+E42*(1+E25)+E43)</f>
        <v>8013.73648847133</v>
      </c>
      <c r="F59" s="14" t="n">
        <f aca="false">IF(F33&gt;0,F33,F26*(1+F23+F24)*(1+F25)+F42*(1+F25)+F43)</f>
        <v>7750</v>
      </c>
      <c r="G59" s="14" t="n">
        <f aca="false">IF(G33&gt;0,G33,G26*(1+G23+G24)*(1+G25)+G42*(1+G25)+G43)</f>
        <v>8250</v>
      </c>
      <c r="H59" s="14" t="n">
        <f aca="false">IF(H33&gt;0,H33,H26*(1+H23+H24)*(1+H25)+H42*(1+H25)+H43)</f>
        <v>7863.01530094701</v>
      </c>
      <c r="I59" s="14" t="n">
        <f aca="false">IF(I33&gt;0,I33,I26*(1+I23+I24)*(1+I25)+I42*(1+I25)+I43)</f>
        <v>8013.73648847133</v>
      </c>
      <c r="J59" s="14" t="n">
        <f aca="false">IF(J33&gt;0,J33,J26*(1+J23+J24)*(1+J25)+J42*(1+J25)+J43)</f>
        <v>7938.37589470917</v>
      </c>
      <c r="K59" s="14" t="n">
        <f aca="false">IF(K33&gt;0,K33,K26*(1+K23+K24)*(1+K25)+K42*(1+K25)+K43)</f>
        <v>7938.37589470917</v>
      </c>
      <c r="L59" s="14" t="n">
        <f aca="false">IF(L33&gt;0,L33,L26*(1+L23+L24)*(1+L25)+L42*(1+L25)+L43)</f>
        <v>7938.37589470917</v>
      </c>
      <c r="M59" s="14" t="n">
        <f aca="false">IF(M33&gt;0,M33,M26*(1+M23+M24)*(1+M25)+M42*(1+M25)+M43)</f>
        <v>7938.37589470917</v>
      </c>
      <c r="N59" s="14" t="n">
        <f aca="false">IF(N33&gt;0,N33,N26*(1+N23+N24)*(1+N25)+N42*(1+N25)+N43)</f>
        <v>7938.37589470917</v>
      </c>
      <c r="O59" s="14" t="n">
        <f aca="false">IF(O33&gt;0,O33,O26*(1+O23+O24)*(1+O25)+O42*(1+O25)+O43)</f>
        <v>7938.37589470917</v>
      </c>
      <c r="P59" s="14" t="n">
        <f aca="false">IF(P33&gt;0,P33,P26*(1+P23+P24)*(1+P25)+P42*(1+P25)+P43)</f>
        <v>7938.37589470917</v>
      </c>
      <c r="Q59" s="14" t="n">
        <f aca="false">IF(Q33&gt;0,Q33,Q26*(1+Q23+Q24)*(1+Q25)+Q42*(1+Q25)+Q43)</f>
        <v>7938.37589470917</v>
      </c>
      <c r="R59" s="14" t="n">
        <f aca="false">IF(R33&gt;0,R33,R26*(1+R23+R24)*(1+R25)+R42*(1+R25)+R43)</f>
        <v>7938.37589470917</v>
      </c>
      <c r="S59" s="14" t="n">
        <f aca="false">IF(S33&gt;0,S33,S26*(1+S23+S24)*(1+S25)+S42*(1+S25)+S43)</f>
        <v>7938.37589470917</v>
      </c>
      <c r="T59" s="14" t="n">
        <f aca="false">IF(T33&gt;0,T33,T26*(1+T23+T24)*(1+T25)+T42*(1+T25)+T43)</f>
        <v>7938.37589470917</v>
      </c>
      <c r="U59" s="14" t="n">
        <f aca="false">IF(U33&gt;0,U33,U26*(1+U23+U24)*(1+U25)+U42*(1+U25)+U43)</f>
        <v>7938.37589470917</v>
      </c>
      <c r="V59" s="14" t="n">
        <f aca="false">IF(V33&gt;0,V33,V26*(1+V23+V24)*(1+V25)+V42*(1+V25)+V43)</f>
        <v>7938.37589470917</v>
      </c>
      <c r="W59" s="14" t="n">
        <f aca="false">IF(W33&gt;0,W33,W26*(1+W23+W24)*(1+W25)+W42*(1+W25)+W43)</f>
        <v>7938.37589470917</v>
      </c>
      <c r="X59" s="14" t="n">
        <f aca="false">IF(X33&gt;0,X33,X26*(1+X23+X24)*(1+X25)+X42*(1+X25)+X43)</f>
        <v>7897.42743981556</v>
      </c>
      <c r="Y59" s="14" t="n">
        <f aca="false">IF(Y33&gt;0,Y33,Y26*(1+Y23+Y24)*(1+Y25)+Y42*(1+Y25)+Y43)</f>
        <v>7980.7412511562</v>
      </c>
      <c r="Z59" s="14" t="n">
        <f aca="false">IF(Z33&gt;0,Z33,Z26*(1+Z23+Z24)*(1+Z25)+Z42*(1+Z25)+Z43)</f>
        <v>7938.37589470917</v>
      </c>
      <c r="AA59" s="14" t="n">
        <f aca="false">IF(AA33&gt;0,AA33,AA26*(1+AA23+AA24)*(1+AA25)+AA42*(1+AA25)+AA43)</f>
        <v>7938.37589470917</v>
      </c>
    </row>
    <row r="60" customFormat="false" ht="15" hidden="false" customHeight="false" outlineLevel="0" collapsed="false">
      <c r="A60" s="2" t="s">
        <v>419</v>
      </c>
      <c r="B60" s="14" t="n">
        <f aca="false">(B52+0.5*B53)/B22</f>
        <v>90</v>
      </c>
      <c r="C60" s="14" t="n">
        <f aca="false">(C52+0.5*C53)/C22</f>
        <v>90</v>
      </c>
      <c r="D60" s="14" t="n">
        <f aca="false">(D52+0.5*D53)/D22</f>
        <v>75</v>
      </c>
      <c r="E60" s="14" t="n">
        <f aca="false">(E52+0.5*E53)/E22</f>
        <v>100</v>
      </c>
      <c r="F60" s="14" t="n">
        <f aca="false">(F52+0.5*F53)/F22</f>
        <v>90</v>
      </c>
      <c r="G60" s="14" t="n">
        <f aca="false">(G52+0.5*G53)/G22</f>
        <v>90</v>
      </c>
      <c r="H60" s="14" t="n">
        <f aca="false">(H52+0.5*H53)/H22</f>
        <v>90</v>
      </c>
      <c r="I60" s="14" t="n">
        <f aca="false">(I52+0.5*I53)/I22</f>
        <v>90</v>
      </c>
      <c r="J60" s="14" t="n">
        <f aca="false">(J52+0.5*J53)/J22</f>
        <v>90</v>
      </c>
      <c r="K60" s="14" t="n">
        <f aca="false">(K52+0.5*K53)/K22</f>
        <v>90</v>
      </c>
      <c r="L60" s="14" t="n">
        <f aca="false">(L52+0.5*L53)/L22</f>
        <v>60</v>
      </c>
      <c r="M60" s="14" t="n">
        <f aca="false">(M52+0.5*M53)/M22</f>
        <v>120</v>
      </c>
      <c r="N60" s="14" t="n">
        <f aca="false">(N52+0.5*N53)/N22</f>
        <v>128.571428571429</v>
      </c>
      <c r="O60" s="14" t="n">
        <f aca="false">(O52+0.5*O53)/O22</f>
        <v>69.2307692307692</v>
      </c>
      <c r="P60" s="14" t="n">
        <f aca="false">(P52+0.5*P53)/P22</f>
        <v>90</v>
      </c>
      <c r="Q60" s="14" t="n">
        <f aca="false">(Q52+0.5*Q53)/Q22</f>
        <v>90</v>
      </c>
      <c r="R60" s="14" t="n">
        <f aca="false">(R52+0.5*R53)/R22</f>
        <v>90</v>
      </c>
      <c r="S60" s="14" t="n">
        <f aca="false">(S52+0.5*S53)/S22</f>
        <v>90</v>
      </c>
      <c r="T60" s="14" t="n">
        <f aca="false">(T52+0.5*T53)/T22</f>
        <v>90</v>
      </c>
      <c r="U60" s="14" t="n">
        <f aca="false">(U52+0.5*U53)/U22</f>
        <v>90</v>
      </c>
      <c r="V60" s="14" t="n">
        <f aca="false">(V52+0.5*V53)/V22</f>
        <v>90</v>
      </c>
      <c r="W60" s="14" t="n">
        <f aca="false">(W52+0.5*W53)/W22</f>
        <v>90</v>
      </c>
      <c r="X60" s="14" t="n">
        <f aca="false">(X52+0.5*X53)/X22</f>
        <v>90</v>
      </c>
      <c r="Y60" s="14" t="n">
        <f aca="false">(Y52+0.5*Y53)/Y22</f>
        <v>90</v>
      </c>
      <c r="Z60" s="14" t="n">
        <f aca="false">(Z52+0.5*Z53)/Z22</f>
        <v>90</v>
      </c>
      <c r="AA60" s="14" t="n">
        <f aca="false">(AA52+0.5*AA53)/AA22</f>
        <v>90</v>
      </c>
    </row>
    <row r="61" customFormat="false" ht="15" hidden="false" customHeight="false" outlineLevel="0" collapsed="false">
      <c r="A61" s="3" t="s">
        <v>29</v>
      </c>
      <c r="B61" s="9" t="n">
        <f aca="false">B59-B60</f>
        <v>7848.37589470917</v>
      </c>
      <c r="C61" s="9" t="n">
        <f aca="false">C59-C60</f>
        <v>7910</v>
      </c>
      <c r="D61" s="9" t="n">
        <f aca="false">D59-D60</f>
        <v>7788.01530094701</v>
      </c>
      <c r="E61" s="9" t="n">
        <f aca="false">E59-E60</f>
        <v>7913.73648847133</v>
      </c>
      <c r="F61" s="9" t="n">
        <f aca="false">F59-F60</f>
        <v>7660</v>
      </c>
      <c r="G61" s="9" t="n">
        <f aca="false">G59-G60</f>
        <v>8160</v>
      </c>
      <c r="H61" s="9" t="n">
        <f aca="false">H59-H60</f>
        <v>7773.01530094701</v>
      </c>
      <c r="I61" s="9" t="n">
        <f aca="false">I59-I60</f>
        <v>7923.73648847133</v>
      </c>
      <c r="J61" s="9" t="n">
        <f aca="false">J59-J60</f>
        <v>7848.37589470917</v>
      </c>
      <c r="K61" s="9" t="n">
        <f aca="false">K59-K60</f>
        <v>7848.37589470917</v>
      </c>
      <c r="L61" s="9" t="n">
        <f aca="false">L59-L60</f>
        <v>7878.37589470917</v>
      </c>
      <c r="M61" s="9" t="n">
        <f aca="false">M59-M60</f>
        <v>7818.37589470917</v>
      </c>
      <c r="N61" s="9" t="n">
        <f aca="false">N59-N60</f>
        <v>7809.80446613774</v>
      </c>
      <c r="O61" s="9" t="n">
        <f aca="false">O59-O60</f>
        <v>7869.1451254784</v>
      </c>
      <c r="P61" s="9" t="n">
        <f aca="false">P59-P60</f>
        <v>7848.37589470917</v>
      </c>
      <c r="Q61" s="9" t="n">
        <f aca="false">Q59-Q60</f>
        <v>7848.37589470917</v>
      </c>
      <c r="R61" s="9" t="n">
        <f aca="false">R59-R60</f>
        <v>7848.37589470917</v>
      </c>
      <c r="S61" s="9" t="n">
        <f aca="false">S59-S60</f>
        <v>7848.37589470917</v>
      </c>
      <c r="T61" s="9" t="n">
        <f aca="false">T59-T60</f>
        <v>7848.37589470917</v>
      </c>
      <c r="U61" s="9" t="n">
        <f aca="false">U59-U60</f>
        <v>7848.37589470917</v>
      </c>
      <c r="V61" s="9" t="n">
        <f aca="false">V59-V60</f>
        <v>7848.37589470917</v>
      </c>
      <c r="W61" s="9" t="n">
        <f aca="false">W59-W60</f>
        <v>7848.37589470917</v>
      </c>
      <c r="X61" s="9" t="n">
        <f aca="false">X59-X60</f>
        <v>7807.42743981556</v>
      </c>
      <c r="Y61" s="9" t="n">
        <f aca="false">Y59-Y60</f>
        <v>7890.7412511562</v>
      </c>
      <c r="Z61" s="9" t="n">
        <f aca="false">Z59-Z60</f>
        <v>7848.37589470917</v>
      </c>
      <c r="AA61" s="9" t="n">
        <f aca="false">AA59-AA60</f>
        <v>7848.37589470917</v>
      </c>
    </row>
    <row r="62" customFormat="false" ht="15" hidden="false" customHeight="false" outlineLevel="0" collapsed="false">
      <c r="A62" s="3" t="s">
        <v>420</v>
      </c>
      <c r="B62" s="34" t="n">
        <f aca="false">B58/B61</f>
        <v>2.8275739230471</v>
      </c>
      <c r="C62" s="34" t="n">
        <f aca="false">C58/C61</f>
        <v>2.80554526146032</v>
      </c>
      <c r="D62" s="34" t="n">
        <f aca="false">D58/D61</f>
        <v>2.95914090350388</v>
      </c>
      <c r="E62" s="34" t="n">
        <f aca="false">E58/E61</f>
        <v>2.74103933707569</v>
      </c>
      <c r="F62" s="34" t="n">
        <f aca="false">F58/F61</f>
        <v>2.89711005458892</v>
      </c>
      <c r="G62" s="34" t="n">
        <f aca="false">G58/G61</f>
        <v>2.71959105614597</v>
      </c>
      <c r="H62" s="34" t="n">
        <f aca="false">H58/H61</f>
        <v>2.85498769254287</v>
      </c>
      <c r="I62" s="34" t="n">
        <f aca="false">I58/I61</f>
        <v>2.80068160399317</v>
      </c>
      <c r="J62" s="34" t="n">
        <f aca="false">J58/J61</f>
        <v>2.8478241529198</v>
      </c>
      <c r="K62" s="34" t="n">
        <f aca="false">K58/K61</f>
        <v>2.81156126186844</v>
      </c>
      <c r="L62" s="34" t="n">
        <f aca="false">L58/L61</f>
        <v>2.88027168561355</v>
      </c>
      <c r="M62" s="34" t="n">
        <f aca="false">M58/M61</f>
        <v>2.77447174583028</v>
      </c>
      <c r="N62" s="34" t="n">
        <f aca="false">N58/N61</f>
        <v>2.84153887774938</v>
      </c>
      <c r="O62" s="34" t="n">
        <f aca="false">O58/O61</f>
        <v>2.82011103675026</v>
      </c>
      <c r="P62" s="34" t="n">
        <f aca="false">P58/P61</f>
        <v>2.82197276420994</v>
      </c>
      <c r="Q62" s="34" t="n">
        <f aca="false">Q58/Q61</f>
        <v>2.83037450246568</v>
      </c>
      <c r="R62" s="34" t="n">
        <f aca="false">R58/R61</f>
        <v>2.87853988152899</v>
      </c>
      <c r="S62" s="34" t="n">
        <f aca="false">S58/S61</f>
        <v>2.77660796456522</v>
      </c>
      <c r="T62" s="34" t="n">
        <f aca="false">T58/T61</f>
        <v>2.8275739230471</v>
      </c>
      <c r="U62" s="34" t="n">
        <f aca="false">U58/U61</f>
        <v>2.8275739230471</v>
      </c>
      <c r="V62" s="34" t="n">
        <f aca="false">V58/V61</f>
        <v>2.8275739230471</v>
      </c>
      <c r="W62" s="34" t="n">
        <f aca="false">W58/W61</f>
        <v>2.8275739230471</v>
      </c>
      <c r="X62" s="34" t="n">
        <f aca="false">X58/X61</f>
        <v>2.84240400429202</v>
      </c>
      <c r="Y62" s="34" t="n">
        <f aca="false">Y58/Y61</f>
        <v>2.81239269059791</v>
      </c>
      <c r="Z62" s="34" t="n">
        <f aca="false">Z58/Z61</f>
        <v>2.8275739230471</v>
      </c>
      <c r="AA62" s="34" t="n">
        <f aca="false">AA58/AA61</f>
        <v>2.8275739230471</v>
      </c>
    </row>
    <row r="63" customFormat="false" ht="15" hidden="false" customHeight="false" outlineLevel="0" collapsed="false">
      <c r="A63" s="2" t="s">
        <v>32</v>
      </c>
      <c r="B63" s="14" t="n">
        <f aca="false">B34*B61</f>
        <v>23545.1276841275</v>
      </c>
      <c r="C63" s="14" t="n">
        <f aca="false">C34*C61</f>
        <v>23730</v>
      </c>
      <c r="D63" s="14" t="n">
        <f aca="false">D34*D61</f>
        <v>23364.045902841</v>
      </c>
      <c r="E63" s="14" t="n">
        <f aca="false">E34*E61</f>
        <v>23741.209465414</v>
      </c>
      <c r="F63" s="14" t="n">
        <f aca="false">F34*F61</f>
        <v>22980</v>
      </c>
      <c r="G63" s="14" t="n">
        <f aca="false">G34*G61</f>
        <v>24480</v>
      </c>
      <c r="H63" s="14" t="n">
        <f aca="false">H34*H61</f>
        <v>23319.045902841</v>
      </c>
      <c r="I63" s="14" t="n">
        <f aca="false">I34*I61</f>
        <v>23771.209465414</v>
      </c>
      <c r="J63" s="14" t="n">
        <f aca="false">J34*J61</f>
        <v>23545.1276841275</v>
      </c>
      <c r="K63" s="14" t="n">
        <f aca="false">K34*K61</f>
        <v>23545.1276841275</v>
      </c>
      <c r="L63" s="14" t="n">
        <f aca="false">L34*L61</f>
        <v>23635.1276841275</v>
      </c>
      <c r="M63" s="14" t="n">
        <f aca="false">M34*M61</f>
        <v>23455.1276841275</v>
      </c>
      <c r="N63" s="14" t="n">
        <f aca="false">N34*N61</f>
        <v>23429.4133984132</v>
      </c>
      <c r="O63" s="14" t="n">
        <f aca="false">O34*O61</f>
        <v>23607.4353764352</v>
      </c>
      <c r="P63" s="14" t="n">
        <f aca="false">P34*P61</f>
        <v>23545.1276841275</v>
      </c>
      <c r="Q63" s="14" t="n">
        <f aca="false">Q34*Q61</f>
        <v>23545.1276841275</v>
      </c>
      <c r="R63" s="14" t="n">
        <f aca="false">R34*R61</f>
        <v>23545.1276841275</v>
      </c>
      <c r="S63" s="14" t="n">
        <f aca="false">S34*S61</f>
        <v>23545.1276841275</v>
      </c>
      <c r="T63" s="14" t="n">
        <f aca="false">T34*T61</f>
        <v>23545.1276841275</v>
      </c>
      <c r="U63" s="14" t="n">
        <f aca="false">U34*U61</f>
        <v>23545.1276841275</v>
      </c>
      <c r="V63" s="14" t="n">
        <f aca="false">V34*V61</f>
        <v>23545.1276841275</v>
      </c>
      <c r="W63" s="14" t="n">
        <f aca="false">W34*W61</f>
        <v>23545.1276841275</v>
      </c>
      <c r="X63" s="14" t="n">
        <f aca="false">X34*X61</f>
        <v>23422.2823194467</v>
      </c>
      <c r="Y63" s="14" t="n">
        <f aca="false">Y34*Y61</f>
        <v>23672.2237534686</v>
      </c>
      <c r="Z63" s="14" t="n">
        <f aca="false">Z34*Z61</f>
        <v>22760.2900946566</v>
      </c>
      <c r="AA63" s="14" t="n">
        <f aca="false">AA34*AA61</f>
        <v>24329.9652735984</v>
      </c>
    </row>
    <row r="64" customFormat="false" ht="15" hidden="false" customHeight="false" outlineLevel="0" collapsed="false">
      <c r="A64" s="3" t="s">
        <v>421</v>
      </c>
      <c r="B64" s="9" t="n">
        <f aca="false">B63-B58</f>
        <v>1353.26466597639</v>
      </c>
      <c r="C64" s="9" t="n">
        <f aca="false">C63-C58</f>
        <v>1538.13698184887</v>
      </c>
      <c r="D64" s="9" t="n">
        <f aca="false">D63-D58</f>
        <v>318.211268694693</v>
      </c>
      <c r="E64" s="9" t="n">
        <f aca="false">E63-E58</f>
        <v>2049.34644726287</v>
      </c>
      <c r="F64" s="9" t="n">
        <f aca="false">F63-F58</f>
        <v>788.136981848867</v>
      </c>
      <c r="G64" s="9" t="n">
        <f aca="false">G63-G58</f>
        <v>2288.13698184887</v>
      </c>
      <c r="H64" s="9" t="n">
        <f aca="false">H63-H58</f>
        <v>1127.1828846899</v>
      </c>
      <c r="I64" s="9" t="n">
        <f aca="false">I63-I58</f>
        <v>1579.34644726287</v>
      </c>
      <c r="J64" s="9" t="n">
        <f aca="false">J63-J58</f>
        <v>1194.33324998118</v>
      </c>
      <c r="K64" s="9" t="n">
        <f aca="false">K63-K58</f>
        <v>1478.93804998118</v>
      </c>
      <c r="L64" s="9" t="n">
        <f aca="false">L63-L58</f>
        <v>943.264665976385</v>
      </c>
      <c r="M64" s="9" t="n">
        <f aca="false">M63-M58</f>
        <v>1763.26466597639</v>
      </c>
      <c r="N64" s="9" t="n">
        <f aca="false">N63-N58</f>
        <v>1237.5503802621</v>
      </c>
      <c r="O64" s="9" t="n">
        <f aca="false">O63-O58</f>
        <v>1415.57235828407</v>
      </c>
      <c r="P64" s="9" t="n">
        <f aca="false">P63-P58</f>
        <v>1397.22466597638</v>
      </c>
      <c r="Q64" s="9" t="n">
        <f aca="false">Q63-Q58</f>
        <v>1331.28466597638</v>
      </c>
      <c r="R64" s="9" t="n">
        <f aca="false">R63-R58</f>
        <v>953.264665976385</v>
      </c>
      <c r="S64" s="9" t="n">
        <f aca="false">S63-S58</f>
        <v>1753.26466597639</v>
      </c>
      <c r="T64" s="9" t="n">
        <f aca="false">T63-T58</f>
        <v>1353.26466597639</v>
      </c>
      <c r="U64" s="9" t="n">
        <f aca="false">U63-U58</f>
        <v>1353.26466597639</v>
      </c>
      <c r="V64" s="9" t="n">
        <f aca="false">V63-V58</f>
        <v>1353.26466597639</v>
      </c>
      <c r="W64" s="9" t="n">
        <f aca="false">W63-W58</f>
        <v>1353.26466597639</v>
      </c>
      <c r="X64" s="9" t="n">
        <f aca="false">X63-X58</f>
        <v>1230.41930129554</v>
      </c>
      <c r="Y64" s="9" t="n">
        <f aca="false">Y63-Y58</f>
        <v>1480.36073531747</v>
      </c>
      <c r="Z64" s="9" t="n">
        <f aca="false">Z63-Z58</f>
        <v>568.427076505464</v>
      </c>
      <c r="AA64" s="9" t="n">
        <f aca="false">AA63-AA58</f>
        <v>2138.1022554473</v>
      </c>
    </row>
    <row r="65" customFormat="false" ht="15" hidden="false" customHeight="false" outlineLevel="0" collapsed="false">
      <c r="A65" s="3" t="s">
        <v>422</v>
      </c>
      <c r="B65" s="15" t="n">
        <f aca="false">B64/(1-B34*B37/B36)</f>
        <v>1353.26466597639</v>
      </c>
      <c r="C65" s="15" t="n">
        <f aca="false">C64/(1-C34*C37/C36)</f>
        <v>1538.13698184887</v>
      </c>
      <c r="D65" s="15" t="n">
        <f aca="false">D64/(1-D34*D37/D36)</f>
        <v>318.211268694693</v>
      </c>
      <c r="E65" s="15" t="n">
        <f aca="false">E64/(1-E34*E37/E36)</f>
        <v>2927.6377818041</v>
      </c>
      <c r="F65" s="15" t="n">
        <f aca="false">F64/(1-F34*F37/F36)</f>
        <v>788.136981848867</v>
      </c>
      <c r="G65" s="15" t="n">
        <f aca="false">G64/(1-G34*G37/G36)</f>
        <v>2288.13698184887</v>
      </c>
      <c r="H65" s="15" t="n">
        <f aca="false">H64/(1-H34*H37/H36)</f>
        <v>1127.1828846899</v>
      </c>
      <c r="I65" s="15" t="n">
        <f aca="false">I64/(1-I34*I37/I36)</f>
        <v>1579.34644726287</v>
      </c>
      <c r="J65" s="15" t="n">
        <f aca="false">J64/(1-J34*J37/J36)</f>
        <v>1194.33324998118</v>
      </c>
      <c r="K65" s="15" t="n">
        <f aca="false">K64/(1-K34*K37/K36)</f>
        <v>1478.93804998118</v>
      </c>
      <c r="L65" s="15" t="n">
        <f aca="false">L64/(1-L34*L37/L36)</f>
        <v>943.264665976385</v>
      </c>
      <c r="M65" s="15" t="n">
        <f aca="false">M64/(1-M34*M37/M36)</f>
        <v>1763.26466597639</v>
      </c>
      <c r="N65" s="15" t="n">
        <f aca="false">N64/(1-N34*N37/N36)</f>
        <v>1237.5503802621</v>
      </c>
      <c r="O65" s="15" t="n">
        <f aca="false">O64/(1-O34*O37/O36)</f>
        <v>1415.57235828407</v>
      </c>
      <c r="P65" s="15" t="n">
        <f aca="false">P64/(1-P34*P37/P36)</f>
        <v>1397.22466597638</v>
      </c>
      <c r="Q65" s="15" t="n">
        <f aca="false">Q64/(1-Q34*Q37/Q36)</f>
        <v>1331.28466597638</v>
      </c>
      <c r="R65" s="15" t="n">
        <f aca="false">R64/(1-R34*R37/R36)</f>
        <v>953.264665976385</v>
      </c>
      <c r="S65" s="15" t="n">
        <f aca="false">S64/(1-S34*S37/S36)</f>
        <v>1753.26466597639</v>
      </c>
      <c r="T65" s="15" t="n">
        <f aca="false">T64/(1-T34*T37/T36)</f>
        <v>1353.26466597639</v>
      </c>
      <c r="U65" s="15" t="n">
        <f aca="false">U64/(1-U34*U37/U36)</f>
        <v>1933.23523710912</v>
      </c>
      <c r="V65" s="15" t="n">
        <f aca="false">V64/(1-V34*V37/V36)</f>
        <v>1353.26466597639</v>
      </c>
      <c r="W65" s="15" t="n">
        <f aca="false">W64/(1-W34*W37/W36)</f>
        <v>1353.26466597639</v>
      </c>
      <c r="X65" s="15" t="n">
        <f aca="false">X64/(1-X34*X37/X36)</f>
        <v>1230.41930129554</v>
      </c>
      <c r="Y65" s="15" t="n">
        <f aca="false">Y64/(1-Y34*Y37/Y36)</f>
        <v>1480.36073531747</v>
      </c>
      <c r="Z65" s="15" t="n">
        <f aca="false">Z64/(1-Z34*Z37/Z36)</f>
        <v>568.427076505464</v>
      </c>
      <c r="AA65" s="15" t="n">
        <f aca="false">AA64/(1-AA34*AA37/AA36)</f>
        <v>2138.1022554473</v>
      </c>
    </row>
    <row r="66" customFormat="false" ht="15" hidden="false" customHeight="false" outlineLevel="0" collapsed="false">
      <c r="A66" s="2" t="s">
        <v>423</v>
      </c>
      <c r="B66" s="14" t="n">
        <f aca="false">B45+B46-B47-B18-B50-B38-B39</f>
        <v>856.136981848868</v>
      </c>
      <c r="C66" s="14" t="n">
        <f aca="false">C45+C46-C47-C18-C50-C38-C39</f>
        <v>856.136981848868</v>
      </c>
      <c r="D66" s="14" t="n">
        <f aca="false">D45+D46-D47-D18-D50-D38-D39</f>
        <v>502.165365853658</v>
      </c>
      <c r="E66" s="14" t="n">
        <f aca="false">E45+E46-E47-E18-E50-E38-E39</f>
        <v>856.136981848868</v>
      </c>
      <c r="F66" s="14" t="n">
        <f aca="false">F45+F46-F47-F18-F50-F38-F39</f>
        <v>856.136981848868</v>
      </c>
      <c r="G66" s="14" t="n">
        <f aca="false">G45+G46-G47-G18-G50-G38-G39</f>
        <v>856.136981848868</v>
      </c>
      <c r="H66" s="14" t="n">
        <f aca="false">H45+H46-H47-H18-H50-H38-H39</f>
        <v>856.136981848868</v>
      </c>
      <c r="I66" s="14" t="n">
        <f aca="false">I45+I46-I47-I18-I50-I38-I39</f>
        <v>856.136981848868</v>
      </c>
      <c r="J66" s="14" t="n">
        <f aca="false">J45+J46-J47-J18-J50-J38-J39</f>
        <v>697.205565853659</v>
      </c>
      <c r="K66" s="14" t="n">
        <f aca="false">K45+K46-K47-K18-K50-K38-K39</f>
        <v>981.810365853659</v>
      </c>
      <c r="L66" s="14" t="n">
        <f aca="false">L45+L46-L47-L18-L50-L38-L39</f>
        <v>856.136981848868</v>
      </c>
      <c r="M66" s="14" t="n">
        <f aca="false">M45+M46-M47-M18-M50-M38-M39</f>
        <v>856.136981848868</v>
      </c>
      <c r="N66" s="14" t="n">
        <f aca="false">N45+N46-N47-N18-N50-N38-N39</f>
        <v>856.136981848868</v>
      </c>
      <c r="O66" s="14" t="n">
        <f aca="false">O45+O46-O47-O18-O50-O38-O39</f>
        <v>856.136981848868</v>
      </c>
      <c r="P66" s="14" t="n">
        <f aca="false">P45+P46-P47-P18-P50-P38-P39</f>
        <v>900.096981848868</v>
      </c>
      <c r="Q66" s="14" t="n">
        <f aca="false">Q45+Q46-Q47-Q18-Q50-Q38-Q39</f>
        <v>834.156981848868</v>
      </c>
      <c r="R66" s="14" t="n">
        <f aca="false">R45+R46-R47-R18-R50-R38-R39</f>
        <v>456.136981848868</v>
      </c>
      <c r="S66" s="14" t="n">
        <f aca="false">S45+S46-S47-S18-S50-S38-S39</f>
        <v>1256.13698184887</v>
      </c>
      <c r="T66" s="14" t="n">
        <f aca="false">T45+T46-T47-T18-T50-T38-T39</f>
        <v>856.136981848868</v>
      </c>
      <c r="U66" s="14" t="n">
        <f aca="false">U45+U46-U47-U18-U50-U38-U39</f>
        <v>856.136981848868</v>
      </c>
      <c r="V66" s="14" t="n">
        <f aca="false">V45+V46-V47-V18-V50-V38-V39</f>
        <v>856.136981848868</v>
      </c>
      <c r="W66" s="14" t="n">
        <f aca="false">W45+W46-W47-W18-W50-W38-W39</f>
        <v>856.136981848868</v>
      </c>
      <c r="X66" s="14" t="n">
        <f aca="false">X45+X46-X47-X18-X50-X38-X39</f>
        <v>856.136981848868</v>
      </c>
      <c r="Y66" s="14" t="n">
        <f aca="false">Y45+Y46-Y47-Y18-Y50-Y38-Y39</f>
        <v>856.136981848868</v>
      </c>
      <c r="Z66" s="14" t="n">
        <f aca="false">Z45+Z46-Z47-Z18-Z50-Z38-Z39</f>
        <v>856.136981848868</v>
      </c>
      <c r="AA66" s="14" t="n">
        <f aca="false">AA45+AA46-AA47-AA18-AA50-AA38-AA39</f>
        <v>856.136981848868</v>
      </c>
    </row>
    <row r="67" customFormat="false" ht="15" hidden="false" customHeight="false" outlineLevel="0" collapsed="false">
      <c r="A67" s="2" t="s">
        <v>424</v>
      </c>
      <c r="B67" s="14" t="n">
        <f aca="false">B51-B34*B60</f>
        <v>1230</v>
      </c>
      <c r="C67" s="14" t="n">
        <f aca="false">C51-C34*C60</f>
        <v>1230</v>
      </c>
      <c r="D67" s="14" t="n">
        <f aca="false">D51-D34*D60</f>
        <v>775</v>
      </c>
      <c r="E67" s="14" t="n">
        <f aca="false">E51-E34*E60</f>
        <v>1700</v>
      </c>
      <c r="F67" s="14" t="n">
        <f aca="false">F51-F34*F60</f>
        <v>1230</v>
      </c>
      <c r="G67" s="14" t="n">
        <f aca="false">G51-G34*G60</f>
        <v>1230</v>
      </c>
      <c r="H67" s="14" t="n">
        <f aca="false">H51-H34*H60</f>
        <v>1230</v>
      </c>
      <c r="I67" s="14" t="n">
        <f aca="false">I51-I34*I60</f>
        <v>1230</v>
      </c>
      <c r="J67" s="14" t="n">
        <f aca="false">J51-J34*J60</f>
        <v>1230</v>
      </c>
      <c r="K67" s="14" t="n">
        <f aca="false">K51-K34*K60</f>
        <v>1230</v>
      </c>
      <c r="L67" s="14" t="n">
        <f aca="false">L51-L34*L60</f>
        <v>820</v>
      </c>
      <c r="M67" s="14" t="n">
        <f aca="false">M51-M34*M60</f>
        <v>1640</v>
      </c>
      <c r="N67" s="14" t="n">
        <f aca="false">N51-N34*N60</f>
        <v>1114.28571428571</v>
      </c>
      <c r="O67" s="14" t="n">
        <f aca="false">O51-O34*O60</f>
        <v>1292.30769230769</v>
      </c>
      <c r="P67" s="14" t="n">
        <f aca="false">P51-P34*P60</f>
        <v>1230</v>
      </c>
      <c r="Q67" s="14" t="n">
        <f aca="false">Q51-Q34*Q60</f>
        <v>1230</v>
      </c>
      <c r="R67" s="14" t="n">
        <f aca="false">R51-R34*R60</f>
        <v>1230</v>
      </c>
      <c r="S67" s="14" t="n">
        <f aca="false">S51-S34*S60</f>
        <v>1230</v>
      </c>
      <c r="T67" s="14" t="n">
        <f aca="false">T51-T34*T60</f>
        <v>1230</v>
      </c>
      <c r="U67" s="14" t="n">
        <f aca="false">U51-U34*U60</f>
        <v>1230</v>
      </c>
      <c r="V67" s="14" t="n">
        <f aca="false">V51-V34*V60</f>
        <v>1230</v>
      </c>
      <c r="W67" s="14" t="n">
        <f aca="false">W51-W34*W60</f>
        <v>1230</v>
      </c>
      <c r="X67" s="14" t="n">
        <f aca="false">X51-X34*X60</f>
        <v>1230</v>
      </c>
      <c r="Y67" s="14" t="n">
        <f aca="false">Y51-Y34*Y60</f>
        <v>1230</v>
      </c>
      <c r="Z67" s="14" t="n">
        <f aca="false">Z51-Z34*Z60</f>
        <v>1239</v>
      </c>
      <c r="AA67" s="14" t="n">
        <f aca="false">AA51-AA34*AA60</f>
        <v>1221</v>
      </c>
    </row>
    <row r="68" customFormat="false" ht="15" hidden="false" customHeight="false" outlineLevel="0" collapsed="false">
      <c r="A68" s="2" t="s">
        <v>425</v>
      </c>
      <c r="B68" s="14" t="n">
        <f aca="false">B34*B59-B5</f>
        <v>-732.872315872482</v>
      </c>
      <c r="C68" s="14" t="n">
        <f aca="false">C34*C59-C5</f>
        <v>-548</v>
      </c>
      <c r="D68" s="14" t="n">
        <f aca="false">D34*D59-D5</f>
        <v>-958.954097158967</v>
      </c>
      <c r="E68" s="14" t="n">
        <f aca="false">E34*E59-E5</f>
        <v>-506.790534585998</v>
      </c>
      <c r="F68" s="14" t="n">
        <f aca="false">F34*F59-F5</f>
        <v>-1298</v>
      </c>
      <c r="G68" s="14" t="n">
        <f aca="false">G34*G59-G5</f>
        <v>202</v>
      </c>
      <c r="H68" s="14" t="n">
        <f aca="false">H34*H59-H5</f>
        <v>-958.954097158967</v>
      </c>
      <c r="I68" s="14" t="n">
        <f aca="false">I34*I59-I5</f>
        <v>-506.790534585998</v>
      </c>
      <c r="J68" s="14" t="n">
        <f aca="false">J34*J59-J5</f>
        <v>-732.872315872482</v>
      </c>
      <c r="K68" s="14" t="n">
        <f aca="false">K34*K59-K5</f>
        <v>-732.872315872482</v>
      </c>
      <c r="L68" s="14" t="n">
        <f aca="false">L34*L59-L5</f>
        <v>-732.872315872482</v>
      </c>
      <c r="M68" s="14" t="n">
        <f aca="false">M34*M59-M5</f>
        <v>-732.872315872482</v>
      </c>
      <c r="N68" s="14" t="n">
        <f aca="false">N34*N59-N5</f>
        <v>-732.872315872482</v>
      </c>
      <c r="O68" s="14" t="n">
        <f aca="false">O34*O59-O5</f>
        <v>-732.872315872482</v>
      </c>
      <c r="P68" s="14" t="n">
        <f aca="false">P34*P59-P5</f>
        <v>-732.872315872482</v>
      </c>
      <c r="Q68" s="14" t="n">
        <f aca="false">Q34*Q59-Q5</f>
        <v>-732.872315872482</v>
      </c>
      <c r="R68" s="14" t="n">
        <f aca="false">R34*R59-R5</f>
        <v>-732.872315872482</v>
      </c>
      <c r="S68" s="14" t="n">
        <f aca="false">S34*S59-S5</f>
        <v>-732.872315872482</v>
      </c>
      <c r="T68" s="14" t="n">
        <f aca="false">T34*T59-T5</f>
        <v>-732.872315872482</v>
      </c>
      <c r="U68" s="14" t="n">
        <f aca="false">U34*U59-U5</f>
        <v>-732.872315872482</v>
      </c>
      <c r="V68" s="14" t="n">
        <f aca="false">V34*V59-V5</f>
        <v>-732.872315872482</v>
      </c>
      <c r="W68" s="14" t="n">
        <f aca="false">W34*W59-W5</f>
        <v>-732.872315872482</v>
      </c>
      <c r="X68" s="14" t="n">
        <f aca="false">X34*X59-X5</f>
        <v>-855.717680553331</v>
      </c>
      <c r="Y68" s="14" t="n">
        <f aca="false">Y34*Y59-Y5</f>
        <v>-605.776246531397</v>
      </c>
      <c r="Z68" s="14" t="n">
        <f aca="false">Z34*Z59-Z5</f>
        <v>-1526.7099053434</v>
      </c>
      <c r="AA68" s="14" t="n">
        <f aca="false">AA34*AA59-AA5</f>
        <v>60.9652735984346</v>
      </c>
    </row>
    <row r="69" customFormat="false" ht="15" hidden="false" customHeight="false" outlineLevel="0" collapsed="false">
      <c r="A69" s="2" t="s">
        <v>426</v>
      </c>
      <c r="B69" s="14" t="n">
        <f aca="false">B65-B64</f>
        <v>0</v>
      </c>
      <c r="C69" s="14" t="n">
        <f aca="false">C65-C64</f>
        <v>0</v>
      </c>
      <c r="D69" s="14" t="n">
        <f aca="false">D65-D64</f>
        <v>0</v>
      </c>
      <c r="E69" s="14" t="n">
        <f aca="false">E65-E64</f>
        <v>878.29133454123</v>
      </c>
      <c r="F69" s="14" t="n">
        <f aca="false">F65-F64</f>
        <v>0</v>
      </c>
      <c r="G69" s="14" t="n">
        <f aca="false">G65-G64</f>
        <v>0</v>
      </c>
      <c r="H69" s="14" t="n">
        <f aca="false">H65-H64</f>
        <v>0</v>
      </c>
      <c r="I69" s="14" t="n">
        <f aca="false">I65-I64</f>
        <v>0</v>
      </c>
      <c r="J69" s="14" t="n">
        <f aca="false">J65-J64</f>
        <v>0</v>
      </c>
      <c r="K69" s="14" t="n">
        <f aca="false">K65-K64</f>
        <v>0</v>
      </c>
      <c r="L69" s="14" t="n">
        <f aca="false">L65-L64</f>
        <v>0</v>
      </c>
      <c r="M69" s="14" t="n">
        <f aca="false">M65-M64</f>
        <v>0</v>
      </c>
      <c r="N69" s="14" t="n">
        <f aca="false">N65-N64</f>
        <v>0</v>
      </c>
      <c r="O69" s="14" t="n">
        <f aca="false">O65-O64</f>
        <v>0</v>
      </c>
      <c r="P69" s="14" t="n">
        <f aca="false">P65-P64</f>
        <v>0</v>
      </c>
      <c r="Q69" s="14" t="n">
        <f aca="false">Q65-Q64</f>
        <v>0</v>
      </c>
      <c r="R69" s="14" t="n">
        <f aca="false">R65-R64</f>
        <v>0</v>
      </c>
      <c r="S69" s="14" t="n">
        <f aca="false">S65-S64</f>
        <v>0</v>
      </c>
      <c r="T69" s="14" t="n">
        <f aca="false">T65-T64</f>
        <v>0</v>
      </c>
      <c r="U69" s="14" t="n">
        <f aca="false">U65-U64</f>
        <v>579.970571132737</v>
      </c>
      <c r="V69" s="14" t="n">
        <f aca="false">V65-V64</f>
        <v>0</v>
      </c>
      <c r="W69" s="14" t="n">
        <f aca="false">W65-W64</f>
        <v>0</v>
      </c>
      <c r="X69" s="14" t="n">
        <f aca="false">X65-X64</f>
        <v>0</v>
      </c>
      <c r="Y69" s="14" t="n">
        <f aca="false">Y65-Y64</f>
        <v>0</v>
      </c>
      <c r="Z69" s="14" t="n">
        <f aca="false">Z65-Z64</f>
        <v>0</v>
      </c>
      <c r="AA69" s="14" t="n">
        <f aca="false">AA65-AA64</f>
        <v>0</v>
      </c>
    </row>
    <row r="70" customFormat="false" ht="15" hidden="false" customHeight="false" outlineLevel="0" collapsed="false">
      <c r="A70" s="2" t="s">
        <v>427</v>
      </c>
      <c r="B70" s="14" t="n">
        <f aca="false">ROUND(B66+B67+B68+B69-B65,6)</f>
        <v>0</v>
      </c>
      <c r="C70" s="14" t="n">
        <f aca="false">ROUND(C66+C67+C68+C69-C65,6)</f>
        <v>0</v>
      </c>
      <c r="D70" s="14" t="n">
        <f aca="false">ROUND(D66+D67+D68+D69-D65,6)</f>
        <v>-0</v>
      </c>
      <c r="E70" s="14" t="n">
        <f aca="false">ROUND(E66+E67+E68+E69-E65,6)</f>
        <v>0</v>
      </c>
      <c r="F70" s="14" t="n">
        <f aca="false">ROUND(F66+F67+F68+F69-F65,6)</f>
        <v>0</v>
      </c>
      <c r="G70" s="14" t="n">
        <f aca="false">ROUND(G66+G67+G68+G69-G65,6)</f>
        <v>0</v>
      </c>
      <c r="H70" s="14" t="n">
        <f aca="false">ROUND(H66+H67+H68+H69-H65,6)</f>
        <v>0</v>
      </c>
      <c r="I70" s="14" t="n">
        <f aca="false">ROUND(I66+I67+I68+I69-I65,6)</f>
        <v>0</v>
      </c>
      <c r="J70" s="14" t="n">
        <f aca="false">ROUND(J66+J67+J68+J69-J65,6)</f>
        <v>0</v>
      </c>
      <c r="K70" s="14" t="n">
        <f aca="false">ROUND(K66+K67+K68+K69-K65,6)</f>
        <v>0</v>
      </c>
      <c r="L70" s="14" t="n">
        <f aca="false">ROUND(L66+L67+L68+L69-L65,6)</f>
        <v>0</v>
      </c>
      <c r="M70" s="14" t="n">
        <f aca="false">ROUND(M66+M67+M68+M69-M65,6)</f>
        <v>0</v>
      </c>
      <c r="N70" s="14" t="n">
        <f aca="false">ROUND(N66+N67+N68+N69-N65,6)</f>
        <v>0</v>
      </c>
      <c r="O70" s="14" t="n">
        <f aca="false">ROUND(O66+O67+O68+O69-O65,6)</f>
        <v>0</v>
      </c>
      <c r="P70" s="14" t="n">
        <f aca="false">ROUND(P66+P67+P68+P69-P65,6)</f>
        <v>0</v>
      </c>
      <c r="Q70" s="14" t="n">
        <f aca="false">ROUND(Q66+Q67+Q68+Q69-Q65,6)</f>
        <v>0</v>
      </c>
      <c r="R70" s="14" t="n">
        <f aca="false">ROUND(R66+R67+R68+R69-R65,6)</f>
        <v>0</v>
      </c>
      <c r="S70" s="14" t="n">
        <f aca="false">ROUND(S66+S67+S68+S69-S65,6)</f>
        <v>0</v>
      </c>
      <c r="T70" s="14" t="n">
        <f aca="false">ROUND(T66+T67+T68+T69-T65,6)</f>
        <v>0</v>
      </c>
      <c r="U70" s="14" t="n">
        <f aca="false">ROUND(U66+U67+U68+U69-U65,6)</f>
        <v>0</v>
      </c>
      <c r="V70" s="14" t="n">
        <f aca="false">ROUND(V66+V67+V68+V69-V65,6)</f>
        <v>0</v>
      </c>
      <c r="W70" s="14" t="n">
        <f aca="false">ROUND(W66+W67+W68+W69-W65,6)</f>
        <v>0</v>
      </c>
      <c r="X70" s="14" t="n">
        <f aca="false">ROUND(X66+X67+X68+X69-X65,6)</f>
        <v>0</v>
      </c>
      <c r="Y70" s="14" t="n">
        <f aca="false">ROUND(Y66+Y67+Y68+Y69-Y65,6)</f>
        <v>0</v>
      </c>
      <c r="Z70" s="14" t="n">
        <f aca="false">ROUND(Z66+Z67+Z68+Z69-Z65,6)</f>
        <v>0</v>
      </c>
      <c r="AA70" s="14" t="n">
        <f aca="false">ROUND(AA66+AA67+AA68+AA69-AA65,6)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1" t="s">
        <v>428</v>
      </c>
    </row>
    <row r="2" customFormat="false" ht="15" hidden="false" customHeight="false" outlineLevel="0" collapsed="false">
      <c r="A2" s="2" t="s">
        <v>429</v>
      </c>
      <c r="B2" s="35" t="n">
        <f aca="false">Engine!$B$65</f>
        <v>1353.26466597639</v>
      </c>
    </row>
    <row r="4" customFormat="false" ht="23.85" hidden="false" customHeight="false" outlineLevel="0" collapsed="false">
      <c r="A4" s="4" t="s">
        <v>430</v>
      </c>
      <c r="B4" s="4" t="s">
        <v>431</v>
      </c>
      <c r="C4" s="4" t="s">
        <v>432</v>
      </c>
      <c r="D4" s="4" t="s">
        <v>433</v>
      </c>
      <c r="E4" s="4" t="s">
        <v>434</v>
      </c>
      <c r="F4" s="4" t="s">
        <v>435</v>
      </c>
      <c r="G4" s="4" t="s">
        <v>436</v>
      </c>
    </row>
    <row r="5" customFormat="false" ht="15" hidden="false" customHeight="false" outlineLevel="0" collapsed="false">
      <c r="A5" s="2" t="s">
        <v>437</v>
      </c>
      <c r="B5" s="5" t="n">
        <f aca="false">Engine!F33</f>
        <v>7750</v>
      </c>
      <c r="C5" s="5" t="n">
        <f aca="false">Engine!G33</f>
        <v>8250</v>
      </c>
      <c r="D5" s="5" t="n">
        <f aca="false">Engine!$F$65</f>
        <v>788.136981848867</v>
      </c>
      <c r="E5" s="5" t="n">
        <f aca="false">Engine!$G$65</f>
        <v>2288.13698184887</v>
      </c>
      <c r="F5" s="14" t="n">
        <f aca="false">ABS(E5-D5)</f>
        <v>1500</v>
      </c>
      <c r="G5" s="36" t="n">
        <f aca="false">F5+ROW()/1000000</f>
        <v>1500.000005</v>
      </c>
    </row>
    <row r="6" customFormat="false" ht="15" hidden="false" customHeight="false" outlineLevel="0" collapsed="false">
      <c r="A6" s="2" t="s">
        <v>205</v>
      </c>
      <c r="B6" s="29" t="n">
        <f aca="false">Engine!H25</f>
        <v>0.04</v>
      </c>
      <c r="C6" s="29" t="n">
        <f aca="false">Engine!I25</f>
        <v>0.06</v>
      </c>
      <c r="D6" s="5" t="n">
        <f aca="false">Engine!$H$65</f>
        <v>1127.1828846899</v>
      </c>
      <c r="E6" s="5" t="n">
        <f aca="false">Engine!$I$65</f>
        <v>1579.34644726287</v>
      </c>
      <c r="F6" s="14" t="n">
        <f aca="false">ABS(E6-D6)</f>
        <v>452.163562572969</v>
      </c>
      <c r="G6" s="36" t="n">
        <f aca="false">F6+ROW()/1000000</f>
        <v>452.163568572969</v>
      </c>
    </row>
    <row r="7" customFormat="false" ht="15" hidden="false" customHeight="false" outlineLevel="0" collapsed="false">
      <c r="A7" s="2" t="s">
        <v>438</v>
      </c>
      <c r="B7" s="29" t="n">
        <f aca="false">Engine!J7</f>
        <v>-0.03</v>
      </c>
      <c r="C7" s="29" t="n">
        <f aca="false">Engine!K7</f>
        <v>0.05</v>
      </c>
      <c r="D7" s="5" t="n">
        <f aca="false">Engine!$J$65</f>
        <v>1194.33324998118</v>
      </c>
      <c r="E7" s="5" t="n">
        <f aca="false">Engine!$K$65</f>
        <v>1478.93804998118</v>
      </c>
      <c r="F7" s="14" t="n">
        <f aca="false">ABS(E7-D7)</f>
        <v>284.604800000001</v>
      </c>
      <c r="G7" s="36" t="n">
        <f aca="false">F7+ROW()/1000000</f>
        <v>284.604807000001</v>
      </c>
    </row>
    <row r="8" customFormat="false" ht="15" hidden="false" customHeight="false" outlineLevel="0" collapsed="false">
      <c r="A8" s="2" t="s">
        <v>439</v>
      </c>
      <c r="B8" s="29" t="n">
        <f aca="false">Engine!L20</f>
        <v>0.5</v>
      </c>
      <c r="C8" s="29" t="n">
        <f aca="false">Engine!M20</f>
        <v>1</v>
      </c>
      <c r="D8" s="5" t="n">
        <f aca="false">Engine!$L$65</f>
        <v>943.264665976385</v>
      </c>
      <c r="E8" s="5" t="n">
        <f aca="false">Engine!$M$65</f>
        <v>1763.26466597639</v>
      </c>
      <c r="F8" s="14" t="n">
        <f aca="false">ABS(E8-D8)</f>
        <v>820</v>
      </c>
      <c r="G8" s="36" t="n">
        <f aca="false">F8+ROW()/1000000</f>
        <v>820.000008</v>
      </c>
    </row>
    <row r="9" customFormat="false" ht="15" hidden="false" customHeight="false" outlineLevel="0" collapsed="false">
      <c r="A9" s="2" t="s">
        <v>440</v>
      </c>
      <c r="B9" s="6" t="n">
        <f aca="false">Engine!N22</f>
        <v>7</v>
      </c>
      <c r="C9" s="6" t="n">
        <f aca="false">Engine!O22</f>
        <v>13</v>
      </c>
      <c r="D9" s="5" t="n">
        <f aca="false">Engine!$N$65</f>
        <v>1237.5503802621</v>
      </c>
      <c r="E9" s="5" t="n">
        <f aca="false">Engine!$O$65</f>
        <v>1415.57235828407</v>
      </c>
      <c r="F9" s="14" t="n">
        <f aca="false">ABS(E9-D9)</f>
        <v>178.021978021974</v>
      </c>
      <c r="G9" s="36" t="n">
        <f aca="false">F9+ROW()/1000000</f>
        <v>178.021987021974</v>
      </c>
    </row>
    <row r="10" customFormat="false" ht="15" hidden="false" customHeight="false" outlineLevel="0" collapsed="false">
      <c r="A10" s="2" t="s">
        <v>148</v>
      </c>
      <c r="B10" s="29" t="n">
        <f aca="false">Engine!P11</f>
        <v>0.04</v>
      </c>
      <c r="C10" s="29" t="n">
        <f aca="false">Engine!Q11</f>
        <v>0.1</v>
      </c>
      <c r="D10" s="5" t="n">
        <f aca="false">Engine!$P$65</f>
        <v>1397.22466597638</v>
      </c>
      <c r="E10" s="5" t="n">
        <f aca="false">Engine!$Q$65</f>
        <v>1331.28466597638</v>
      </c>
      <c r="F10" s="14" t="n">
        <f aca="false">ABS(E10-D10)</f>
        <v>65.9400000000023</v>
      </c>
      <c r="G10" s="36" t="n">
        <f aca="false">F10+ROW()/1000000</f>
        <v>65.9400100000023</v>
      </c>
    </row>
    <row r="11" customFormat="false" ht="15" hidden="false" customHeight="false" outlineLevel="0" collapsed="false">
      <c r="A11" s="2" t="s">
        <v>441</v>
      </c>
      <c r="B11" s="5" t="n">
        <f aca="false">Engine!R39</f>
        <v>400</v>
      </c>
      <c r="C11" s="5" t="n">
        <f aca="false">Engine!S39</f>
        <v>-400</v>
      </c>
      <c r="D11" s="5" t="n">
        <f aca="false">Engine!$R$65</f>
        <v>953.264665976385</v>
      </c>
      <c r="E11" s="5" t="n">
        <f aca="false">Engine!$S$65</f>
        <v>1753.26466597639</v>
      </c>
      <c r="F11" s="14" t="n">
        <f aca="false">ABS(E11-D11)</f>
        <v>800</v>
      </c>
      <c r="G11" s="36" t="n">
        <f aca="false">F11+ROW()/1000000</f>
        <v>800.000011</v>
      </c>
    </row>
    <row r="12" customFormat="false" ht="15" hidden="false" customHeight="false" outlineLevel="0" collapsed="false">
      <c r="A12" s="2" t="s">
        <v>442</v>
      </c>
      <c r="B12" s="29" t="n">
        <f aca="false">Engine!T37</f>
        <v>0</v>
      </c>
      <c r="C12" s="29" t="n">
        <f aca="false">Engine!U37</f>
        <v>1</v>
      </c>
      <c r="D12" s="5" t="n">
        <f aca="false">Engine!$T$65</f>
        <v>1353.26466597639</v>
      </c>
      <c r="E12" s="5" t="n">
        <f aca="false">Engine!$U$65</f>
        <v>1933.23523710912</v>
      </c>
      <c r="F12" s="14" t="n">
        <f aca="false">ABS(E12-D12)</f>
        <v>579.970571132737</v>
      </c>
      <c r="G12" s="36" t="n">
        <f aca="false">F12+ROW()/1000000</f>
        <v>579.970583132737</v>
      </c>
    </row>
    <row r="13" customFormat="false" ht="15" hidden="false" customHeight="false" outlineLevel="0" collapsed="false">
      <c r="A13" s="2" t="s">
        <v>443</v>
      </c>
      <c r="B13" s="6" t="n">
        <f aca="false">Engine!V36</f>
        <v>8</v>
      </c>
      <c r="C13" s="6" t="n">
        <f aca="false">Engine!W36</f>
        <v>12</v>
      </c>
      <c r="D13" s="5" t="n">
        <f aca="false">Engine!$V$65</f>
        <v>1353.26466597639</v>
      </c>
      <c r="E13" s="5" t="n">
        <f aca="false">Engine!$W$65</f>
        <v>1353.26466597639</v>
      </c>
      <c r="F13" s="14" t="n">
        <f aca="false">ABS(E13-D13)</f>
        <v>0</v>
      </c>
      <c r="G13" s="36" t="n">
        <f aca="false">F13+ROW()/1000000</f>
        <v>1.3E-005</v>
      </c>
    </row>
    <row r="14" customFormat="false" ht="15" hidden="false" customHeight="false" outlineLevel="0" collapsed="false">
      <c r="A14" s="2" t="s">
        <v>444</v>
      </c>
      <c r="B14" s="6" t="n">
        <f aca="false">Engine!X28</f>
        <v>11.5</v>
      </c>
      <c r="C14" s="6" t="n">
        <f aca="false">Engine!Y28</f>
        <v>8.5</v>
      </c>
      <c r="D14" s="5" t="n">
        <f aca="false">Engine!$X$65</f>
        <v>1230.41930129554</v>
      </c>
      <c r="E14" s="5" t="n">
        <f aca="false">Engine!$Y$65</f>
        <v>1480.36073531747</v>
      </c>
      <c r="F14" s="14" t="n">
        <f aca="false">ABS(E14-D14)</f>
        <v>249.941434021934</v>
      </c>
      <c r="G14" s="36" t="n">
        <f aca="false">F14+ROW()/1000000</f>
        <v>249.941448021934</v>
      </c>
    </row>
    <row r="15" customFormat="false" ht="15" hidden="false" customHeight="false" outlineLevel="0" collapsed="false">
      <c r="A15" s="2" t="s">
        <v>445</v>
      </c>
      <c r="B15" s="6" t="n">
        <f aca="false">Engine!Z34</f>
        <v>2.9</v>
      </c>
      <c r="C15" s="6" t="n">
        <f aca="false">Engine!AA34</f>
        <v>3.1</v>
      </c>
      <c r="D15" s="5" t="n">
        <f aca="false">Engine!$Z$65</f>
        <v>568.427076505464</v>
      </c>
      <c r="E15" s="5" t="n">
        <f aca="false">Engine!$AA$65</f>
        <v>2138.1022554473</v>
      </c>
      <c r="F15" s="14" t="n">
        <f aca="false">ABS(E15-D15)</f>
        <v>1569.67517894184</v>
      </c>
      <c r="G15" s="36" t="n">
        <f aca="false">F15+ROW()/1000000</f>
        <v>1569.67519394184</v>
      </c>
    </row>
    <row r="17" customFormat="false" ht="15" hidden="false" customHeight="false" outlineLevel="0" collapsed="false">
      <c r="A17" s="3" t="s">
        <v>446</v>
      </c>
    </row>
    <row r="18" customFormat="false" ht="23.85" hidden="false" customHeight="false" outlineLevel="0" collapsed="false">
      <c r="A18" s="4" t="s">
        <v>447</v>
      </c>
      <c r="B18" s="4" t="s">
        <v>433</v>
      </c>
      <c r="C18" s="4" t="s">
        <v>434</v>
      </c>
      <c r="D18" s="4" t="s">
        <v>435</v>
      </c>
    </row>
    <row r="19" customFormat="false" ht="15" hidden="false" customHeight="false" outlineLevel="0" collapsed="false">
      <c r="A19" s="2" t="str">
        <f aca="false">"1. "&amp;INDEX($A$5:$A$15,MATCH(LARGE($G$5:$G$15,1),$G$5:$G$15,0))</f>
        <v>1. Leverage cap</v>
      </c>
      <c r="B19" s="14" t="n">
        <f aca="false">INDEX($D$5:$D$15,MATCH(LARGE($G$5:$G$15,1),$G$5:$G$15,0))</f>
        <v>568.427076505464</v>
      </c>
      <c r="C19" s="14" t="n">
        <f aca="false">INDEX($E$5:$E$15,MATCH(LARGE($G$5:$G$15,1),$G$5:$G$15,0))</f>
        <v>2138.1022554473</v>
      </c>
      <c r="D19" s="14" t="n">
        <f aca="false">INDEX($F$5:$F$15,MATCH(LARGE($G$5:$G$15,1),$G$5:$G$15,0))</f>
        <v>1569.67517894184</v>
      </c>
    </row>
    <row r="20" customFormat="false" ht="15" hidden="false" customHeight="false" outlineLevel="0" collapsed="false">
      <c r="A20" s="2" t="str">
        <f aca="false">"2. "&amp;INDEX($A$5:$A$15,MATCH(LARGE($G$5:$G$15,2),$G$5:$G$15,0))</f>
        <v>2. EBITDA 2027 level</v>
      </c>
      <c r="B20" s="14" t="n">
        <f aca="false">INDEX($D$5:$D$15,MATCH(LARGE($G$5:$G$15,2),$G$5:$G$15,0))</f>
        <v>788.136981848867</v>
      </c>
      <c r="C20" s="14" t="n">
        <f aca="false">INDEX($E$5:$E$15,MATCH(LARGE($G$5:$G$15,2),$G$5:$G$15,0))</f>
        <v>2288.13698184887</v>
      </c>
      <c r="D20" s="14" t="n">
        <f aca="false">INDEX($F$5:$F$15,MATCH(LARGE($G$5:$G$15,2),$G$5:$G$15,0))</f>
        <v>1500</v>
      </c>
    </row>
    <row r="21" customFormat="false" ht="15" hidden="false" customHeight="false" outlineLevel="0" collapsed="false">
      <c r="A21" s="2" t="str">
        <f aca="false">"3. "&amp;INDEX($A$5:$A$15,MATCH(LARGE($G$5:$G$15,3),$G$5:$G$15,0))</f>
        <v>3. Disposals cashed by end-2027</v>
      </c>
      <c r="B21" s="14" t="n">
        <f aca="false">INDEX($D$5:$D$15,MATCH(LARGE($G$5:$G$15,3),$G$5:$G$15,0))</f>
        <v>943.264665976385</v>
      </c>
      <c r="C21" s="14" t="n">
        <f aca="false">INDEX($E$5:$E$15,MATCH(LARGE($G$5:$G$15,3),$G$5:$G$15,0))</f>
        <v>1763.26466597639</v>
      </c>
      <c r="D21" s="14" t="n">
        <f aca="false">INDEX($F$5:$F$15,MATCH(LARGE($G$5:$G$15,3),$G$5:$G$15,0))</f>
        <v>820</v>
      </c>
    </row>
    <row r="22" customFormat="false" ht="15" hidden="false" customHeight="false" outlineLevel="0" collapsed="false">
      <c r="A22" s="2" t="str">
        <f aca="false">"4. "&amp;INDEX($A$5:$A$15,MATCH(LARGE($G$5:$G$15,4),$G$5:$G$15,0))</f>
        <v>4. FX / other on NFD 2027 (EUR m)</v>
      </c>
      <c r="B22" s="14" t="n">
        <f aca="false">INDEX($D$5:$D$15,MATCH(LARGE($G$5:$G$15,4),$G$5:$G$15,0))</f>
        <v>953.264665976385</v>
      </c>
      <c r="C22" s="14" t="n">
        <f aca="false">INDEX($E$5:$E$15,MATCH(LARGE($G$5:$G$15,4),$G$5:$G$15,0))</f>
        <v>1753.26466597639</v>
      </c>
      <c r="D22" s="14" t="n">
        <f aca="false">INDEX($F$5:$F$15,MATCH(LARGE($G$5:$G$15,4),$G$5:$G$15,0))</f>
        <v>800</v>
      </c>
    </row>
    <row r="23" customFormat="false" ht="15" hidden="false" customHeight="false" outlineLevel="0" collapsed="false">
      <c r="A23" s="2" t="str">
        <f aca="false">"5. "&amp;INDEX($A$5:$A$15,MATCH(LARGE($G$5:$G$15,5),$G$5:$G$15,0))</f>
        <v>5. Acquired EBITDA in 2027 ratio</v>
      </c>
      <c r="B23" s="14" t="n">
        <f aca="false">INDEX($D$5:$D$15,MATCH(LARGE($G$5:$G$15,5),$G$5:$G$15,0))</f>
        <v>1353.26466597639</v>
      </c>
      <c r="C23" s="14" t="n">
        <f aca="false">INDEX($E$5:$E$15,MATCH(LARGE($G$5:$G$15,5),$G$5:$G$15,0))</f>
        <v>1933.23523710912</v>
      </c>
      <c r="D23" s="14" t="n">
        <f aca="false">INDEX($F$5:$F$15,MATCH(LARGE($G$5:$G$15,5),$G$5:$G$15,0))</f>
        <v>579.970571132737</v>
      </c>
    </row>
    <row r="24" customFormat="false" ht="15" hidden="false" customHeight="false" outlineLevel="0" collapsed="false">
      <c r="A24" s="2" t="str">
        <f aca="false">"6. "&amp;INDEX($A$5:$A$15,MATCH(LARGE($G$5:$G$15,6),$G$5:$G$15,0))</f>
        <v>6. Organic EBITDA growth 2027</v>
      </c>
      <c r="B24" s="14" t="n">
        <f aca="false">INDEX($D$5:$D$15,MATCH(LARGE($G$5:$G$15,6),$G$5:$G$15,0))</f>
        <v>1127.1828846899</v>
      </c>
      <c r="C24" s="14" t="n">
        <f aca="false">INDEX($E$5:$E$15,MATCH(LARGE($G$5:$G$15,6),$G$5:$G$15,0))</f>
        <v>1579.34644726287</v>
      </c>
      <c r="D24" s="14" t="n">
        <f aca="false">INDEX($F$5:$F$15,MATCH(LARGE($G$5:$G$15,6),$G$5:$G$15,0))</f>
        <v>452.163562572969</v>
      </c>
    </row>
    <row r="25" customFormat="false" ht="15" hidden="false" customHeight="false" outlineLevel="0" collapsed="false">
      <c r="A25" s="2" t="str">
        <f aca="false">"7. "&amp;INDEX($A$5:$A$15,MATCH(LARGE($G$5:$G$15,7),$G$5:$G$15,0))</f>
        <v>7. Net FCF growth p.a.</v>
      </c>
      <c r="B25" s="14" t="n">
        <f aca="false">INDEX($D$5:$D$15,MATCH(LARGE($G$5:$G$15,7),$G$5:$G$15,0))</f>
        <v>1194.33324998118</v>
      </c>
      <c r="C25" s="14" t="n">
        <f aca="false">INDEX($E$5:$E$15,MATCH(LARGE($G$5:$G$15,7),$G$5:$G$15,0))</f>
        <v>1478.93804998118</v>
      </c>
      <c r="D25" s="14" t="n">
        <f aca="false">INDEX($F$5:$F$15,MATCH(LARGE($G$5:$G$15,7),$G$5:$G$15,0))</f>
        <v>284.604800000001</v>
      </c>
    </row>
    <row r="26" customFormat="false" ht="15" hidden="false" customHeight="false" outlineLevel="0" collapsed="false">
      <c r="A26" s="2" t="str">
        <f aca="false">"8. "&amp;INDEX($A$5:$A$15,MATCH(LARGE($G$5:$G$15,8),$G$5:$G$15,0))</f>
        <v>8. Clean Earth EV/EBITDA (sets its EBITDA)</v>
      </c>
      <c r="B26" s="14" t="n">
        <f aca="false">INDEX($D$5:$D$15,MATCH(LARGE($G$5:$G$15,8),$G$5:$G$15,0))</f>
        <v>1230.41930129554</v>
      </c>
      <c r="C26" s="14" t="n">
        <f aca="false">INDEX($E$5:$E$15,MATCH(LARGE($G$5:$G$15,8),$G$5:$G$15,0))</f>
        <v>1480.36073531747</v>
      </c>
      <c r="D26" s="14" t="n">
        <f aca="false">INDEX($F$5:$F$15,MATCH(LARGE($G$5:$G$15,8),$G$5:$G$15,0))</f>
        <v>249.941434021934</v>
      </c>
    </row>
    <row r="27" customFormat="false" ht="15" hidden="false" customHeight="false" outlineLevel="0" collapsed="false">
      <c r="A27" s="2" t="str">
        <f aca="false">"9. "&amp;INDEX($A$5:$A$15,MATCH(LARGE($G$5:$G$15,9),$G$5:$G$15,0))</f>
        <v>9. Multiple on assets sold</v>
      </c>
      <c r="B27" s="14" t="n">
        <f aca="false">INDEX($D$5:$D$15,MATCH(LARGE($G$5:$G$15,9),$G$5:$G$15,0))</f>
        <v>1237.5503802621</v>
      </c>
      <c r="C27" s="14" t="n">
        <f aca="false">INDEX($E$5:$E$15,MATCH(LARGE($G$5:$G$15,9),$G$5:$G$15,0))</f>
        <v>1415.57235828407</v>
      </c>
      <c r="D27" s="14" t="n">
        <f aca="false">INDEX($F$5:$F$15,MATCH(LARGE($G$5:$G$15,9),$G$5:$G$15,0))</f>
        <v>178.021978021974</v>
      </c>
    </row>
    <row r="28" customFormat="false" ht="15" hidden="false" customHeight="false" outlineLevel="0" collapsed="false">
      <c r="A28" s="2" t="str">
        <f aca="false">"10. "&amp;INDEX($A$5:$A$15,MATCH(LARGE($G$5:$G$15,10),$G$5:$G$15,0))</f>
        <v>10. Parent dividend growth 2027</v>
      </c>
      <c r="B28" s="14" t="n">
        <f aca="false">INDEX($D$5:$D$15,MATCH(LARGE($G$5:$G$15,10),$G$5:$G$15,0))</f>
        <v>1397.22466597638</v>
      </c>
      <c r="C28" s="14" t="n">
        <f aca="false">INDEX($E$5:$E$15,MATCH(LARGE($G$5:$G$15,10),$G$5:$G$15,0))</f>
        <v>1331.28466597638</v>
      </c>
      <c r="D28" s="14" t="n">
        <f aca="false">INDEX($F$5:$F$15,MATCH(LARGE($G$5:$G$15,10),$G$5:$G$15,0))</f>
        <v>65.9400000000023</v>
      </c>
    </row>
    <row r="29" customFormat="false" ht="15" hidden="false" customHeight="false" outlineLevel="0" collapsed="false">
      <c r="A29" s="2" t="str">
        <f aca="false">"11. "&amp;INDEX($A$5:$A$15,MATCH(LARGE($G$5:$G$15,11),$G$5:$G$15,0))</f>
        <v>11. Multiple paid on acquisitions</v>
      </c>
      <c r="B29" s="14" t="n">
        <f aca="false">INDEX($D$5:$D$15,MATCH(LARGE($G$5:$G$15,11),$G$5:$G$15,0))</f>
        <v>1353.26466597639</v>
      </c>
      <c r="C29" s="14" t="n">
        <f aca="false">INDEX($E$5:$E$15,MATCH(LARGE($G$5:$G$15,11),$G$5:$G$15,0))</f>
        <v>1353.26466597639</v>
      </c>
      <c r="D29" s="14" t="n">
        <f aca="false">INDEX($F$5:$F$15,MATCH(LARGE($G$5:$G$15,11),$G$5:$G$15,0))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448</v>
      </c>
    </row>
    <row r="3" customFormat="false" ht="15" hidden="false" customHeight="false" outlineLevel="0" collapsed="false">
      <c r="A3" s="2" t="s">
        <v>449</v>
      </c>
      <c r="B3" s="29" t="n">
        <f aca="false">Inputs!$C$67</f>
        <v>0.195</v>
      </c>
      <c r="C3" s="13" t="s">
        <v>450</v>
      </c>
    </row>
    <row r="4" customFormat="false" ht="15" hidden="false" customHeight="false" outlineLevel="0" collapsed="false">
      <c r="A4" s="2" t="s">
        <v>451</v>
      </c>
      <c r="B4" s="29" t="n">
        <f aca="false">Inputs!$C$68</f>
        <v>0.18</v>
      </c>
      <c r="C4" s="13"/>
    </row>
    <row r="5" customFormat="false" ht="15" hidden="false" customHeight="false" outlineLevel="0" collapsed="false">
      <c r="A5" s="2" t="s">
        <v>452</v>
      </c>
      <c r="B5" s="37" t="n">
        <f aca="false">B3/B4-1</f>
        <v>0.0833333333333335</v>
      </c>
      <c r="C5" s="13" t="s">
        <v>453</v>
      </c>
    </row>
    <row r="6" customFormat="false" ht="15" hidden="false" customHeight="false" outlineLevel="0" collapsed="false">
      <c r="A6" s="2" t="s">
        <v>454</v>
      </c>
      <c r="B6" s="5" t="n">
        <f aca="false">B5*Engine!$B$58</f>
        <v>1849.32191817926</v>
      </c>
      <c r="C6" s="13" t="s">
        <v>455</v>
      </c>
    </row>
    <row r="7" customFormat="false" ht="15" hidden="false" customHeight="false" outlineLevel="0" collapsed="false">
      <c r="A7" s="2" t="s">
        <v>456</v>
      </c>
      <c r="B7" s="5" t="n">
        <f aca="false">Engine!$B$64</f>
        <v>1353.26466597639</v>
      </c>
      <c r="C7" s="13"/>
    </row>
    <row r="8" customFormat="false" ht="15" hidden="false" customHeight="false" outlineLevel="0" collapsed="false">
      <c r="A8" s="2" t="s">
        <v>457</v>
      </c>
      <c r="B8" s="2" t="str">
        <f aca="false">IF(B6&lt;B7,"Rating trigger","3x commitment")</f>
        <v>3x commitment</v>
      </c>
      <c r="C8" s="13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2026-10-07T12:13:48Z</dcterms:created>
  <dc:creator>openpyxl</dc:creator>
  <dc:description/>
  <dc:language>en-US</dc:language>
  <cp:lastModifiedBy/>
  <dcterms:modified xsi:type="dcterms:W3CDTF">2026-10-07T12:13:49Z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